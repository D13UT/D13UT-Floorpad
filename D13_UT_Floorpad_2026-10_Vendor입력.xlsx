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2026-10" sheetId="1" state="visible" r:id="rId1"/>
  </sheets>
  <definedNames>
    <definedName name="_xlnm._FilterDatabase" localSheetId="0" hidden="1">'2026-10'!$A$1:$P$74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Arial"/>
      <b val="1"/>
      <color rgb="00FFFFFF"/>
    </font>
    <font>
      <name val="Arial"/>
      <sz val="10"/>
    </font>
    <font>
      <name val="Arial"/>
      <color rgb="000B5394"/>
      <sz val="9"/>
      <u val="single"/>
    </font>
    <font>
      <name val="Arial"/>
      <color rgb="00B8432F"/>
      <sz val="10"/>
    </font>
    <font>
      <name val="Arial"/>
      <b val="1"/>
      <color rgb="008A5F28"/>
      <sz val="10"/>
    </font>
    <font>
      <name val="Arial"/>
      <b val="1"/>
      <sz val="10"/>
    </font>
    <font>
      <name val="Arial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02273B"/>
      </patternFill>
    </fill>
    <fill>
      <patternFill patternType="solid">
        <fgColor rgb="00FFF4DB"/>
      </patternFill>
    </fill>
    <fill>
      <patternFill patternType="solid">
        <fgColor rgb="00F6EEE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rget.com/p/-/A-95104406" TargetMode="External" Id="rId1"/><Relationship Type="http://schemas.openxmlformats.org/officeDocument/2006/relationships/hyperlink" Target="https://target.scene7.com/is/image/Target/GUEST_0f29cee9-7947-496b-a9b8-fdcdb1f257a1?wid=300&amp;hei=300" TargetMode="External" Id="rId2"/><Relationship Type="http://schemas.openxmlformats.org/officeDocument/2006/relationships/hyperlink" Target="https://www.target.com/p/-/A-95045684" TargetMode="External" Id="rId3"/><Relationship Type="http://schemas.openxmlformats.org/officeDocument/2006/relationships/hyperlink" Target="https://target.scene7.com/is/image/Target/GUEST_05abee78-671f-4b3d-93b0-040b1007ebf8?wid=300&amp;hei=300" TargetMode="External" Id="rId4"/><Relationship Type="http://schemas.openxmlformats.org/officeDocument/2006/relationships/hyperlink" Target="https://www.target.com/p/-/A-95160708" TargetMode="External" Id="rId5"/><Relationship Type="http://schemas.openxmlformats.org/officeDocument/2006/relationships/hyperlink" Target="https://target.scene7.com/is/image/Target/GUEST_f07a8f8e-70cf-4ed0-833d-86ee07747fdb?wid=300&amp;hei=300" TargetMode="External" Id="rId6"/><Relationship Type="http://schemas.openxmlformats.org/officeDocument/2006/relationships/hyperlink" Target="https://www.target.com/p/-/A-1011277468" TargetMode="External" Id="rId7"/><Relationship Type="http://schemas.openxmlformats.org/officeDocument/2006/relationships/hyperlink" Target="https://target.scene7.com/is/image/Target/GUEST_a054b94e-5221-4d13-9411-f39415b73ea6?wid=300&amp;hei=300" TargetMode="External" Id="rId8"/><Relationship Type="http://schemas.openxmlformats.org/officeDocument/2006/relationships/hyperlink" Target="https://www.target.com/p/-/A-95010837" TargetMode="External" Id="rId9"/><Relationship Type="http://schemas.openxmlformats.org/officeDocument/2006/relationships/hyperlink" Target="https://target.scene7.com/is/image/Target/GUEST_4126d5de-a1c6-463a-8ff6-04da3c5d110b?wid=300&amp;hei=300" TargetMode="External" Id="rId10"/><Relationship Type="http://schemas.openxmlformats.org/officeDocument/2006/relationships/hyperlink" Target="https://www.target.com/p/-/A-1011703235" TargetMode="External" Id="rId11"/><Relationship Type="http://schemas.openxmlformats.org/officeDocument/2006/relationships/hyperlink" Target="https://target.scene7.com/is/image/Target/GUEST_c8adfbf4-b636-4217-b38a-a62aa227cd85?wid=300&amp;hei=300" TargetMode="External" Id="rId12"/><Relationship Type="http://schemas.openxmlformats.org/officeDocument/2006/relationships/hyperlink" Target="https://www.target.com/p/-/A-1011703169" TargetMode="External" Id="rId13"/><Relationship Type="http://schemas.openxmlformats.org/officeDocument/2006/relationships/hyperlink" Target="https://target.scene7.com/is/image/Target/GUEST_05046857-d20e-4f09-82ed-a4d7f4e144eb?wid=300&amp;hei=300" TargetMode="External" Id="rId14"/><Relationship Type="http://schemas.openxmlformats.org/officeDocument/2006/relationships/hyperlink" Target="https://www.target.com/p/-/A-95011323" TargetMode="External" Id="rId15"/><Relationship Type="http://schemas.openxmlformats.org/officeDocument/2006/relationships/hyperlink" Target="https://target.scene7.com/is/image/Target/GUEST_377ecb9c-0aed-43e2-8402-9b3c27fd52ea?wid=300&amp;hei=300" TargetMode="External" Id="rId16"/><Relationship Type="http://schemas.openxmlformats.org/officeDocument/2006/relationships/hyperlink" Target="https://www.target.com/p/-/A-1010623365" TargetMode="External" Id="rId17"/><Relationship Type="http://schemas.openxmlformats.org/officeDocument/2006/relationships/hyperlink" Target="https://target.scene7.com/is/image/Target/GUEST_0437e1dc-a43b-4b13-b4fc-24c5219845d2?wid=300&amp;hei=300" TargetMode="External" Id="rId18"/><Relationship Type="http://schemas.openxmlformats.org/officeDocument/2006/relationships/hyperlink" Target="https://www.target.com/p/-/A-95079464" TargetMode="External" Id="rId19"/><Relationship Type="http://schemas.openxmlformats.org/officeDocument/2006/relationships/hyperlink" Target="https://target.scene7.com/is/image/Target/GUEST_a27e8620-106c-4505-bc38-d275969f477f?wid=300&amp;hei=300" TargetMode="External" Id="rId20"/><Relationship Type="http://schemas.openxmlformats.org/officeDocument/2006/relationships/hyperlink" Target="https://www.target.com/p/-/A-95079308" TargetMode="External" Id="rId21"/><Relationship Type="http://schemas.openxmlformats.org/officeDocument/2006/relationships/hyperlink" Target="https://target.scene7.com/is/image/Target/GUEST_112f8a49-c0fc-49c6-9f3a-4fba48621983?wid=300&amp;hei=300" TargetMode="External" Id="rId22"/><Relationship Type="http://schemas.openxmlformats.org/officeDocument/2006/relationships/hyperlink" Target="https://www.target.com/p/-/A-95265719" TargetMode="External" Id="rId23"/><Relationship Type="http://schemas.openxmlformats.org/officeDocument/2006/relationships/hyperlink" Target="https://target.scene7.com/is/image/Target/GUEST_707d8e55-16ae-4acb-884e-346135f2a84a?wid=300&amp;hei=300" TargetMode="External" Id="rId24"/><Relationship Type="http://schemas.openxmlformats.org/officeDocument/2006/relationships/hyperlink" Target="https://www.target.com/p/-/A-95074191" TargetMode="External" Id="rId25"/><Relationship Type="http://schemas.openxmlformats.org/officeDocument/2006/relationships/hyperlink" Target="https://target.scene7.com/is/image/Target/GUEST_ea704e69-41ce-4fc2-acda-c1d852c4d8c4?wid=300&amp;hei=300" TargetMode="External" Id="rId26"/><Relationship Type="http://schemas.openxmlformats.org/officeDocument/2006/relationships/hyperlink" Target="https://www.target.com/p/-/A-1011652179" TargetMode="External" Id="rId27"/><Relationship Type="http://schemas.openxmlformats.org/officeDocument/2006/relationships/hyperlink" Target="https://target.scene7.com/is/image/Target/GUEST_259c269a-f335-43ef-9e2e-68e16e5ab078?wid=300&amp;hei=300" TargetMode="External" Id="rId28"/><Relationship Type="http://schemas.openxmlformats.org/officeDocument/2006/relationships/hyperlink" Target="https://www.target.com/p/-/A-1011703082" TargetMode="External" Id="rId29"/><Relationship Type="http://schemas.openxmlformats.org/officeDocument/2006/relationships/hyperlink" Target="https://target.scene7.com/is/image/Target/GUEST_307278a1-60ac-4f25-b68f-89c3a52de4ed?wid=300&amp;hei=300" TargetMode="External" Id="rId30"/><Relationship Type="http://schemas.openxmlformats.org/officeDocument/2006/relationships/hyperlink" Target="https://www.target.com/p/-/A-95280202" TargetMode="External" Id="rId31"/><Relationship Type="http://schemas.openxmlformats.org/officeDocument/2006/relationships/hyperlink" Target="https://target.scene7.com/is/image/Target/GUEST_810f019a-9d2d-4ec8-b9b6-e4d374c1f8bf?wid=300&amp;hei=300" TargetMode="External" Id="rId32"/><Relationship Type="http://schemas.openxmlformats.org/officeDocument/2006/relationships/hyperlink" Target="https://www.target.com/p/-/A-1011702972" TargetMode="External" Id="rId33"/><Relationship Type="http://schemas.openxmlformats.org/officeDocument/2006/relationships/hyperlink" Target="https://target.scene7.com/is/image/Target/GUEST_075d9dbf-faff-461f-a8c0-4f0e5a549860?wid=300&amp;hei=300" TargetMode="External" Id="rId34"/><Relationship Type="http://schemas.openxmlformats.org/officeDocument/2006/relationships/hyperlink" Target="https://www.target.com/p/-/A-95236579" TargetMode="External" Id="rId35"/><Relationship Type="http://schemas.openxmlformats.org/officeDocument/2006/relationships/hyperlink" Target="https://target.scene7.com/is/image/Target/GUEST_0903c42e-b25d-47c3-b377-00469cc00f80?wid=300&amp;hei=300" TargetMode="External" Id="rId36"/><Relationship Type="http://schemas.openxmlformats.org/officeDocument/2006/relationships/hyperlink" Target="https://www.target.com/p/-/A-95236158" TargetMode="External" Id="rId37"/><Relationship Type="http://schemas.openxmlformats.org/officeDocument/2006/relationships/hyperlink" Target="https://target.scene7.com/is/image/Target/GUEST_a399497f-6f9b-4ccc-91d8-4981fcc9560c?wid=300&amp;hei=300" TargetMode="External" Id="rId38"/><Relationship Type="http://schemas.openxmlformats.org/officeDocument/2006/relationships/hyperlink" Target="https://www.target.com/p/-/A-95211696" TargetMode="External" Id="rId39"/><Relationship Type="http://schemas.openxmlformats.org/officeDocument/2006/relationships/hyperlink" Target="https://target.scene7.com/is/image/Target/GUEST_2ca37bc5-4cb5-4fd5-94ef-fd2f4f7b8d68?wid=300&amp;hei=300" TargetMode="External" Id="rId40"/><Relationship Type="http://schemas.openxmlformats.org/officeDocument/2006/relationships/hyperlink" Target="https://www.target.com/p/-/A-95161019" TargetMode="External" Id="rId41"/><Relationship Type="http://schemas.openxmlformats.org/officeDocument/2006/relationships/hyperlink" Target="https://target.scene7.com/is/image/Target/GUEST_bc432ebb-4523-4f33-97b8-97e98eaff065?wid=300&amp;hei=300" TargetMode="External" Id="rId42"/><Relationship Type="http://schemas.openxmlformats.org/officeDocument/2006/relationships/hyperlink" Target="https://www.target.com/p/-/A-95141793" TargetMode="External" Id="rId43"/><Relationship Type="http://schemas.openxmlformats.org/officeDocument/2006/relationships/hyperlink" Target="https://target.scene7.com/is/image/Target/GUEST_1d39c487-cf75-4cbb-b3c9-d302ed26000c?wid=300&amp;hei=300" TargetMode="External" Id="rId44"/><Relationship Type="http://schemas.openxmlformats.org/officeDocument/2006/relationships/hyperlink" Target="https://www.target.com/p/-/A-95270343" TargetMode="External" Id="rId45"/><Relationship Type="http://schemas.openxmlformats.org/officeDocument/2006/relationships/hyperlink" Target="https://target.scene7.com/is/image/Target/GUEST_b4f19d0e-fa9c-463d-9fff-cfed5c39b1a9?wid=300&amp;hei=300" TargetMode="External" Id="rId46"/><Relationship Type="http://schemas.openxmlformats.org/officeDocument/2006/relationships/hyperlink" Target="https://www.target.com/p/-/A-95119393" TargetMode="External" Id="rId47"/><Relationship Type="http://schemas.openxmlformats.org/officeDocument/2006/relationships/hyperlink" Target="https://target.scene7.com/is/image/Target/GUEST_89cf3bc0-4947-48d4-9442-4d323633b984?wid=300&amp;hei=300" TargetMode="External" Id="rId48"/><Relationship Type="http://schemas.openxmlformats.org/officeDocument/2006/relationships/hyperlink" Target="https://www.target.com/p/-/A-95151615" TargetMode="External" Id="rId49"/><Relationship Type="http://schemas.openxmlformats.org/officeDocument/2006/relationships/hyperlink" Target="https://target.scene7.com/is/image/Target/GUEST_1230b768-b230-4d00-8b68-c69f5b741de0?wid=300&amp;hei=300" TargetMode="External" Id="rId50"/><Relationship Type="http://schemas.openxmlformats.org/officeDocument/2006/relationships/hyperlink" Target="https://www.target.com/p/-/A-95162693" TargetMode="External" Id="rId51"/><Relationship Type="http://schemas.openxmlformats.org/officeDocument/2006/relationships/hyperlink" Target="https://target.scene7.com/is/image/Target/GUEST_beaa2208-c282-4052-9ac9-296a26cf4965?wid=300&amp;hei=300" TargetMode="External" Id="rId52"/><Relationship Type="http://schemas.openxmlformats.org/officeDocument/2006/relationships/hyperlink" Target="https://www.target.com/p/-/A-94876260" TargetMode="External" Id="rId53"/><Relationship Type="http://schemas.openxmlformats.org/officeDocument/2006/relationships/hyperlink" Target="https://target.scene7.com/is/image/Target/GUEST_677f7115-3c0c-491e-9f44-6422e3a1337b?wid=300&amp;hei=300" TargetMode="External" Id="rId54"/><Relationship Type="http://schemas.openxmlformats.org/officeDocument/2006/relationships/hyperlink" Target="https://www.target.com/p/-/A-95160979" TargetMode="External" Id="rId55"/><Relationship Type="http://schemas.openxmlformats.org/officeDocument/2006/relationships/hyperlink" Target="https://target.scene7.com/is/image/Target/GUEST_91403dbc-bdaf-4519-8ce3-3d87dfd837a3?wid=300&amp;hei=300" TargetMode="External" Id="rId56"/><Relationship Type="http://schemas.openxmlformats.org/officeDocument/2006/relationships/hyperlink" Target="https://www.target.com/p/-/A-95119218" TargetMode="External" Id="rId57"/><Relationship Type="http://schemas.openxmlformats.org/officeDocument/2006/relationships/hyperlink" Target="https://target.scene7.com/is/image/Target/GUEST_ccbb4717-b901-4e71-9bc9-29a75d0f8851?wid=300&amp;hei=300" TargetMode="External" Id="rId58"/><Relationship Type="http://schemas.openxmlformats.org/officeDocument/2006/relationships/hyperlink" Target="https://www.target.com/p/-/A-95163030" TargetMode="External" Id="rId59"/><Relationship Type="http://schemas.openxmlformats.org/officeDocument/2006/relationships/hyperlink" Target="https://target.scene7.com/is/image/Target/GUEST_deca5c74-5e22-4a91-acbb-82b98ea47f5b?wid=300&amp;hei=300" TargetMode="External" Id="rId60"/><Relationship Type="http://schemas.openxmlformats.org/officeDocument/2006/relationships/hyperlink" Target="https://www.target.com/p/-/A-95034735" TargetMode="External" Id="rId61"/><Relationship Type="http://schemas.openxmlformats.org/officeDocument/2006/relationships/hyperlink" Target="https://target.scene7.com/is/image/Target/GUEST_f9988345-1289-436d-b815-43f23538d4ed?wid=300&amp;hei=300" TargetMode="External" Id="rId62"/><Relationship Type="http://schemas.openxmlformats.org/officeDocument/2006/relationships/hyperlink" Target="https://www.target.com/p/-/A-95020377" TargetMode="External" Id="rId63"/><Relationship Type="http://schemas.openxmlformats.org/officeDocument/2006/relationships/hyperlink" Target="https://target.scene7.com/is/image/Target/GUEST_27ef38ba-b870-41b1-86a3-dc68640afb70?wid=300&amp;hei=300" TargetMode="External" Id="rId64"/><Relationship Type="http://schemas.openxmlformats.org/officeDocument/2006/relationships/hyperlink" Target="https://www.target.com/p/-/A-95020351" TargetMode="External" Id="rId65"/><Relationship Type="http://schemas.openxmlformats.org/officeDocument/2006/relationships/hyperlink" Target="https://target.scene7.com/is/image/Target/GUEST_eb9d4bcc-ee2e-4690-8d94-4ab39ed102ea?wid=300&amp;hei=300" TargetMode="External" Id="rId66"/><Relationship Type="http://schemas.openxmlformats.org/officeDocument/2006/relationships/hyperlink" Target="https://www.target.com/p/-/A-1009846101" TargetMode="External" Id="rId67"/><Relationship Type="http://schemas.openxmlformats.org/officeDocument/2006/relationships/hyperlink" Target="https://target.scene7.com/is/image/Target/GUEST_3a8a41aa-a176-47da-9833-3148566f7cb3?wid=300&amp;hei=300" TargetMode="External" Id="rId68"/><Relationship Type="http://schemas.openxmlformats.org/officeDocument/2006/relationships/hyperlink" Target="https://www.target.com/p/-/A-95034699" TargetMode="External" Id="rId69"/><Relationship Type="http://schemas.openxmlformats.org/officeDocument/2006/relationships/hyperlink" Target="https://target.scene7.com/is/image/Target/GUEST_1fc95814-f42b-4eff-9cd6-3dddb8a095f5?wid=300&amp;hei=300" TargetMode="External" Id="rId70"/><Relationship Type="http://schemas.openxmlformats.org/officeDocument/2006/relationships/hyperlink" Target="https://www.target.com/p/-/A-95098031" TargetMode="External" Id="rId71"/><Relationship Type="http://schemas.openxmlformats.org/officeDocument/2006/relationships/hyperlink" Target="https://target.scene7.com/is/image/Target/GUEST_ebb27023-949b-451a-917d-d7ab32124d50?wid=300&amp;hei=300" TargetMode="External" Id="rId72"/><Relationship Type="http://schemas.openxmlformats.org/officeDocument/2006/relationships/hyperlink" Target="https://www.target.com/p/-/A-95240838" TargetMode="External" Id="rId73"/><Relationship Type="http://schemas.openxmlformats.org/officeDocument/2006/relationships/hyperlink" Target="https://target.scene7.com/is/image/Target/GUEST_878d5a13-7310-481b-b348-d066fcd2afac?wid=300&amp;hei=300" TargetMode="External" Id="rId74"/><Relationship Type="http://schemas.openxmlformats.org/officeDocument/2006/relationships/hyperlink" Target="https://www.target.com/p/-/A-95219638" TargetMode="External" Id="rId75"/><Relationship Type="http://schemas.openxmlformats.org/officeDocument/2006/relationships/hyperlink" Target="https://target.scene7.com/is/image/Target/GUEST_c48e5008-e6a4-4f64-9616-a27b8a98559c?wid=300&amp;hei=300" TargetMode="External" Id="rId76"/><Relationship Type="http://schemas.openxmlformats.org/officeDocument/2006/relationships/hyperlink" Target="https://www.target.com/p/-/A-1010399684" TargetMode="External" Id="rId77"/><Relationship Type="http://schemas.openxmlformats.org/officeDocument/2006/relationships/hyperlink" Target="https://target.scene7.com/is/image/Target/GUEST_f0a58879-58fd-4116-ba65-dfa4d0dcac32?wid=300&amp;hei=300" TargetMode="External" Id="rId78"/><Relationship Type="http://schemas.openxmlformats.org/officeDocument/2006/relationships/hyperlink" Target="https://www.target.com/p/-/A-95211738" TargetMode="External" Id="rId79"/><Relationship Type="http://schemas.openxmlformats.org/officeDocument/2006/relationships/hyperlink" Target="https://target.scene7.com/is/image/Target/GUEST_2abbe874-2767-4c0d-b6ea-9b60dcd158e1?wid=300&amp;hei=300" TargetMode="External" Id="rId80"/><Relationship Type="http://schemas.openxmlformats.org/officeDocument/2006/relationships/hyperlink" Target="https://www.target.com/p/-/A-95119606" TargetMode="External" Id="rId81"/><Relationship Type="http://schemas.openxmlformats.org/officeDocument/2006/relationships/hyperlink" Target="https://target.scene7.com/is/image/Target/GUEST_2416f02f-411e-47ff-92c5-b8716448d443?wid=300&amp;hei=300" TargetMode="External" Id="rId82"/><Relationship Type="http://schemas.openxmlformats.org/officeDocument/2006/relationships/hyperlink" Target="https://www.target.com/p/-/A-1010399663" TargetMode="External" Id="rId83"/><Relationship Type="http://schemas.openxmlformats.org/officeDocument/2006/relationships/hyperlink" Target="https://target.scene7.com/is/image/Target/GUEST_f81d703f-4ee7-4314-bea3-85483eb26d4c?wid=300&amp;hei=300" TargetMode="External" Id="rId84"/><Relationship Type="http://schemas.openxmlformats.org/officeDocument/2006/relationships/hyperlink" Target="https://www.target.com/p/-/A-95157060" TargetMode="External" Id="rId85"/><Relationship Type="http://schemas.openxmlformats.org/officeDocument/2006/relationships/hyperlink" Target="https://target.scene7.com/is/image/Target/GUEST_c2c9be57-4841-41f9-8f86-716ea5a33ad5?wid=300&amp;hei=300" TargetMode="External" Id="rId86"/><Relationship Type="http://schemas.openxmlformats.org/officeDocument/2006/relationships/hyperlink" Target="https://www.target.com/p/-/A-1010212610" TargetMode="External" Id="rId87"/><Relationship Type="http://schemas.openxmlformats.org/officeDocument/2006/relationships/hyperlink" Target="https://target.scene7.com/is/image/Target/GUEST_95d1bdab-1497-4d6d-8e50-c1550a595349?wid=300&amp;hei=300" TargetMode="External" Id="rId88"/><Relationship Type="http://schemas.openxmlformats.org/officeDocument/2006/relationships/hyperlink" Target="https://www.target.com/p/-/A-95124899" TargetMode="External" Id="rId89"/><Relationship Type="http://schemas.openxmlformats.org/officeDocument/2006/relationships/hyperlink" Target="https://target.scene7.com/is/image/Target/GUEST_43804d05-75c0-4ff3-a464-173a0e636e83?wid=300&amp;hei=300" TargetMode="External" Id="rId90"/><Relationship Type="http://schemas.openxmlformats.org/officeDocument/2006/relationships/hyperlink" Target="https://www.target.com/p/-/A-95034686" TargetMode="External" Id="rId91"/><Relationship Type="http://schemas.openxmlformats.org/officeDocument/2006/relationships/hyperlink" Target="https://target.scene7.com/is/image/Target/GUEST_109a96ff-684f-4432-8cce-e1dd69b03e7b?wid=300&amp;hei=300" TargetMode="External" Id="rId92"/><Relationship Type="http://schemas.openxmlformats.org/officeDocument/2006/relationships/hyperlink" Target="https://www.target.com/p/-/A-95026991" TargetMode="External" Id="rId93"/><Relationship Type="http://schemas.openxmlformats.org/officeDocument/2006/relationships/hyperlink" Target="https://target.scene7.com/is/image/Target/GUEST_a9448cbd-8e47-45dc-ba94-12dbf83d9550?wid=300&amp;hei=300" TargetMode="External" Id="rId94"/><Relationship Type="http://schemas.openxmlformats.org/officeDocument/2006/relationships/hyperlink" Target="https://www.target.com/p/-/A-94986709" TargetMode="External" Id="rId95"/><Relationship Type="http://schemas.openxmlformats.org/officeDocument/2006/relationships/hyperlink" Target="https://target.scene7.com/is/image/Target/GUEST_553ca67b-0e68-42df-87eb-dc43982ae5b8?wid=300&amp;hei=300" TargetMode="External" Id="rId96"/><Relationship Type="http://schemas.openxmlformats.org/officeDocument/2006/relationships/hyperlink" Target="https://www.target.com/p/-/A-1011547356" TargetMode="External" Id="rId97"/><Relationship Type="http://schemas.openxmlformats.org/officeDocument/2006/relationships/hyperlink" Target="https://target.scene7.com/is/image/Target/GUEST_c984e729-bf90-4410-9309-ed8159943cbd?wid=300&amp;hei=300" TargetMode="External" Id="rId98"/><Relationship Type="http://schemas.openxmlformats.org/officeDocument/2006/relationships/hyperlink" Target="https://www.target.com/p/-/A-1011547391" TargetMode="External" Id="rId99"/><Relationship Type="http://schemas.openxmlformats.org/officeDocument/2006/relationships/hyperlink" Target="https://target.scene7.com/is/image/Target/GUEST_c0765ba3-bbd1-4db6-b443-962f03411d8b?wid=300&amp;hei=300" TargetMode="External" Id="rId100"/><Relationship Type="http://schemas.openxmlformats.org/officeDocument/2006/relationships/hyperlink" Target="https://www.target.com/p/-/A-1011547601" TargetMode="External" Id="rId101"/><Relationship Type="http://schemas.openxmlformats.org/officeDocument/2006/relationships/hyperlink" Target="https://target.scene7.com/is/image/Target/GUEST_b5087c03-b71a-43d5-b298-d5aea067dc34?wid=300&amp;hei=300" TargetMode="External" Id="rId102"/><Relationship Type="http://schemas.openxmlformats.org/officeDocument/2006/relationships/hyperlink" Target="https://www.target.com/p/-/A-95219510" TargetMode="External" Id="rId103"/><Relationship Type="http://schemas.openxmlformats.org/officeDocument/2006/relationships/hyperlink" Target="https://target.scene7.com/is/image/Target/GUEST_b0125331-020c-4cf7-a7a1-48bdc621af20?wid=300&amp;hei=300" TargetMode="External" Id="rId104"/><Relationship Type="http://schemas.openxmlformats.org/officeDocument/2006/relationships/hyperlink" Target="https://www.target.com/p/-/A-1011264018" TargetMode="External" Id="rId105"/><Relationship Type="http://schemas.openxmlformats.org/officeDocument/2006/relationships/hyperlink" Target="https://target.scene7.com/is/image/Target/GUEST_131ec2ba-3858-4ed0-b4d9-89d98cab9f9b?wid=300&amp;hei=300" TargetMode="External" Id="rId106"/><Relationship Type="http://schemas.openxmlformats.org/officeDocument/2006/relationships/hyperlink" Target="https://www.target.com/p/-/A-95294026" TargetMode="External" Id="rId107"/><Relationship Type="http://schemas.openxmlformats.org/officeDocument/2006/relationships/hyperlink" Target="https://target.scene7.com/is/image/Target/GUEST_179e979b-11ee-47d5-922d-3be9d034ccad?wid=300&amp;hei=300" TargetMode="External" Id="rId108"/><Relationship Type="http://schemas.openxmlformats.org/officeDocument/2006/relationships/hyperlink" Target="https://www.target.com/p/-/A-95211757" TargetMode="External" Id="rId109"/><Relationship Type="http://schemas.openxmlformats.org/officeDocument/2006/relationships/hyperlink" Target="https://target.scene7.com/is/image/Target/GUEST_11fea020-5bad-4815-9b22-86c0a73c5b2f?wid=300&amp;hei=300" TargetMode="External" Id="rId110"/><Relationship Type="http://schemas.openxmlformats.org/officeDocument/2006/relationships/hyperlink" Target="https://www.target.com/p/-/A-1010725963" TargetMode="External" Id="rId111"/><Relationship Type="http://schemas.openxmlformats.org/officeDocument/2006/relationships/hyperlink" Target="https://target.scene7.com/is/image/Target/GUEST_baa6983a-5430-480d-a2ed-f1d1f17fdb79?wid=300&amp;hei=300" TargetMode="External" Id="rId112"/><Relationship Type="http://schemas.openxmlformats.org/officeDocument/2006/relationships/hyperlink" Target="https://www.target.com/p/-/A-95119674" TargetMode="External" Id="rId113"/><Relationship Type="http://schemas.openxmlformats.org/officeDocument/2006/relationships/hyperlink" Target="https://target.scene7.com/is/image/Target/GUEST_64e2cafe-18ed-406b-838b-98b59067addc?wid=300&amp;hei=300" TargetMode="External" Id="rId114"/><Relationship Type="http://schemas.openxmlformats.org/officeDocument/2006/relationships/hyperlink" Target="https://www.target.com/p/-/A-95124929" TargetMode="External" Id="rId115"/><Relationship Type="http://schemas.openxmlformats.org/officeDocument/2006/relationships/hyperlink" Target="https://target.scene7.com/is/image/Target/GUEST_6be35640-47bc-481f-9554-d432aa1af055?wid=300&amp;hei=300" TargetMode="External" Id="rId116"/><Relationship Type="http://schemas.openxmlformats.org/officeDocument/2006/relationships/hyperlink" Target="https://www.target.com/p/-/A-95020429" TargetMode="External" Id="rId117"/><Relationship Type="http://schemas.openxmlformats.org/officeDocument/2006/relationships/hyperlink" Target="https://target.scene7.com/is/image/Target/GUEST_8db57d66-1e3a-4483-b70e-15aa3098769a?wid=300&amp;hei=300" TargetMode="External" Id="rId118"/><Relationship Type="http://schemas.openxmlformats.org/officeDocument/2006/relationships/hyperlink" Target="https://www.target.com/p/-/A-95034641" TargetMode="External" Id="rId119"/><Relationship Type="http://schemas.openxmlformats.org/officeDocument/2006/relationships/hyperlink" Target="https://target.scene7.com/is/image/Target/GUEST_6f07183f-93f6-41a0-8cba-a19cdf3f26e9?wid=300&amp;hei=300" TargetMode="External" Id="rId120"/><Relationship Type="http://schemas.openxmlformats.org/officeDocument/2006/relationships/hyperlink" Target="https://www.target.com/p/-/A-95213733" TargetMode="External" Id="rId121"/><Relationship Type="http://schemas.openxmlformats.org/officeDocument/2006/relationships/hyperlink" Target="https://target.scene7.com/is/image/Target/GUEST_ba321da9-5a4a-4b42-8e4e-e744fb54caed?wid=300&amp;hei=300" TargetMode="External" Id="rId122"/><Relationship Type="http://schemas.openxmlformats.org/officeDocument/2006/relationships/hyperlink" Target="https://www.target.com/p/-/A-95020480" TargetMode="External" Id="rId123"/><Relationship Type="http://schemas.openxmlformats.org/officeDocument/2006/relationships/hyperlink" Target="https://target.scene7.com/is/image/Target/GUEST_cd0dfc94-db85-4dc6-b6ff-760b714a6d7d?wid=300&amp;hei=300" TargetMode="External" Id="rId124"/><Relationship Type="http://schemas.openxmlformats.org/officeDocument/2006/relationships/hyperlink" Target="https://www.target.com/p/-/A-95011418" TargetMode="External" Id="rId125"/><Relationship Type="http://schemas.openxmlformats.org/officeDocument/2006/relationships/hyperlink" Target="https://target.scene7.com/is/image/Target/GUEST_61f8f70f-9aa8-426c-bb94-95eaa3a57da4?wid=300&amp;hei=300" TargetMode="External" Id="rId126"/><Relationship Type="http://schemas.openxmlformats.org/officeDocument/2006/relationships/hyperlink" Target="https://www.target.com/p/-/A-95157418" TargetMode="External" Id="rId127"/><Relationship Type="http://schemas.openxmlformats.org/officeDocument/2006/relationships/hyperlink" Target="https://target.scene7.com/is/image/Target/GUEST_a6cb13f8-7e98-40fe-9b22-673252ff67ad?wid=300&amp;hei=300" TargetMode="External" Id="rId128"/><Relationship Type="http://schemas.openxmlformats.org/officeDocument/2006/relationships/hyperlink" Target="https://www.target.com/p/-/A-95156812" TargetMode="External" Id="rId129"/><Relationship Type="http://schemas.openxmlformats.org/officeDocument/2006/relationships/hyperlink" Target="https://target.scene7.com/is/image/Target/GUEST_4bd2a63f-1307-417d-8cd9-34f5d9fc028c?wid=300&amp;hei=300" TargetMode="External" Id="rId130"/><Relationship Type="http://schemas.openxmlformats.org/officeDocument/2006/relationships/hyperlink" Target="https://www.target.com/p/-/A-1008344904" TargetMode="External" Id="rId131"/><Relationship Type="http://schemas.openxmlformats.org/officeDocument/2006/relationships/hyperlink" Target="https://target.scene7.com/is/image/Target/GUEST_9845df6c-0dd8-4757-86e7-da119e423e04?wid=300&amp;hei=300" TargetMode="External" Id="rId132"/><Relationship Type="http://schemas.openxmlformats.org/officeDocument/2006/relationships/hyperlink" Target="https://www.target.com/p/-/A-95147737" TargetMode="External" Id="rId133"/><Relationship Type="http://schemas.openxmlformats.org/officeDocument/2006/relationships/hyperlink" Target="https://target.scene7.com/is/image/Target/GUEST_c929a98b-0c3c-46f0-b463-ad41bb3f18f9?wid=300&amp;hei=300" TargetMode="External" Id="rId134"/><Relationship Type="http://schemas.openxmlformats.org/officeDocument/2006/relationships/hyperlink" Target="https://www.target.com/p/-/A-1010627720" TargetMode="External" Id="rId135"/><Relationship Type="http://schemas.openxmlformats.org/officeDocument/2006/relationships/hyperlink" Target="https://target.scene7.com/is/image/Target/GUEST_c797b050-ed18-404e-940f-05da22a7993d?wid=300&amp;hei=300" TargetMode="External" Id="rId136"/><Relationship Type="http://schemas.openxmlformats.org/officeDocument/2006/relationships/hyperlink" Target="https://www.target.com/p/-/A-95028402" TargetMode="External" Id="rId137"/><Relationship Type="http://schemas.openxmlformats.org/officeDocument/2006/relationships/hyperlink" Target="https://target.scene7.com/is/image/Target/GUEST_c2dcfe5e-384c-4286-9497-32fb53fc52d0?wid=300&amp;hei=300" TargetMode="External" Id="rId138"/><Relationship Type="http://schemas.openxmlformats.org/officeDocument/2006/relationships/hyperlink" Target="https://www.target.com/p/-/A-94975726" TargetMode="External" Id="rId139"/><Relationship Type="http://schemas.openxmlformats.org/officeDocument/2006/relationships/hyperlink" Target="https://target.scene7.com/is/image/Target/GUEST_3d4fe8cd-c8a5-4954-9c1d-409bf7859aeb?wid=300&amp;hei=300" TargetMode="External" Id="rId140"/><Relationship Type="http://schemas.openxmlformats.org/officeDocument/2006/relationships/hyperlink" Target="https://www.target.com/p/-/A-95151373" TargetMode="External" Id="rId141"/><Relationship Type="http://schemas.openxmlformats.org/officeDocument/2006/relationships/hyperlink" Target="https://target.scene7.com/is/image/Target/GUEST_0a1300b1-1320-4569-86ef-22523dc4d55a?wid=300&amp;hei=300" TargetMode="External" Id="rId142"/><Relationship Type="http://schemas.openxmlformats.org/officeDocument/2006/relationships/hyperlink" Target="https://www.target.com/p/-/A-95028220" TargetMode="External" Id="rId143"/><Relationship Type="http://schemas.openxmlformats.org/officeDocument/2006/relationships/hyperlink" Target="https://target.scene7.com/is/image/Target/GUEST_c13cf563-14ae-4016-81e8-06be5b000319?wid=300&amp;hei=300" TargetMode="External" Id="rId144"/><Relationship Type="http://schemas.openxmlformats.org/officeDocument/2006/relationships/hyperlink" Target="https://www.target.com/p/-/A-89525631" TargetMode="External" Id="rId145"/><Relationship Type="http://schemas.openxmlformats.org/officeDocument/2006/relationships/hyperlink" Target="https://target.scene7.com/is/image/Target/GUEST_f97f319d-ba52-4b88-9afe-c496029fac35?wid=300&amp;hei=300" TargetMode="External" Id="rId1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83203125" customWidth="1" min="1" max="1"/>
    <col width="8.83203125" customWidth="1" min="2" max="2"/>
    <col width="10.83203125" customWidth="1" min="3" max="3"/>
    <col width="8.83203125" customWidth="1" min="4" max="4"/>
    <col width="12.83203125" customWidth="1" min="5" max="5"/>
    <col width="6.83203125" customWidth="1" min="6" max="6"/>
    <col width="42.83203125" customWidth="1" min="7" max="7"/>
    <col width="13.83203125" customWidth="1" min="8" max="8"/>
    <col width="13.83203125" customWidth="1" min="9" max="9"/>
    <col width="38.83203125" customWidth="1" min="10" max="10"/>
    <col width="8.83203125" customWidth="1" min="11" max="11"/>
    <col width="16.83203125" customWidth="1" min="12" max="12"/>
    <col width="16.83203125" customWidth="1" min="13" max="13"/>
    <col width="16" customWidth="1" min="14" max="14"/>
    <col width="30.83203125" customWidth="1" min="15" max="15"/>
    <col width="30.83203125" customWidth="1" min="16" max="16"/>
  </cols>
  <sheetData>
    <row r="1" ht="20" customHeight="1">
      <c r="A1" s="1" t="inlineStr">
        <is>
          <t>No</t>
        </is>
      </c>
      <c r="B1" s="1" t="inlineStr">
        <is>
          <t>회차</t>
        </is>
      </c>
      <c r="C1" s="1" t="inlineStr">
        <is>
          <t>그룹</t>
        </is>
      </c>
      <c r="D1" s="1" t="inlineStr">
        <is>
          <t>구분</t>
        </is>
      </c>
      <c r="E1" s="1" t="inlineStr">
        <is>
          <t>프로그램</t>
        </is>
      </c>
      <c r="F1" s="1" t="inlineStr">
        <is>
          <t>NEW</t>
        </is>
      </c>
      <c r="G1" s="1" t="inlineStr">
        <is>
          <t>상품명</t>
        </is>
      </c>
      <c r="H1" s="1" t="inlineStr">
        <is>
          <t>DPCI</t>
        </is>
      </c>
      <c r="I1" s="1" t="inlineStr">
        <is>
          <t>이전 DPCI</t>
        </is>
      </c>
      <c r="J1" s="1" t="inlineStr">
        <is>
          <t>Fabric</t>
        </is>
      </c>
      <c r="K1" s="1" t="inlineStr">
        <is>
          <t>Retail ($)</t>
        </is>
      </c>
      <c r="L1" s="1" t="inlineStr">
        <is>
          <t>Vendor (현재)</t>
        </is>
      </c>
      <c r="M1" s="1" t="inlineStr">
        <is>
          <t>Vendor 입력</t>
        </is>
      </c>
      <c r="N1" s="1" t="inlineStr">
        <is>
          <t>이미지</t>
        </is>
      </c>
      <c r="O1" s="1" t="inlineStr">
        <is>
          <t>T.com 링크</t>
        </is>
      </c>
      <c r="P1" s="1" t="inlineStr">
        <is>
          <t>이미지 링크</t>
        </is>
      </c>
    </row>
    <row r="2" ht="80" customHeight="1">
      <c r="A2" s="2" t="n">
        <v>1</v>
      </c>
      <c r="B2" s="2" t="inlineStr">
        <is>
          <t>2026-10</t>
        </is>
      </c>
      <c r="C2" s="2" t="inlineStr">
        <is>
          <t>Knit Top</t>
        </is>
      </c>
      <c r="D2" s="2" t="inlineStr">
        <is>
          <t>Tops</t>
        </is>
      </c>
      <c r="E2" s="2" t="inlineStr">
        <is>
          <t>Core Tank</t>
        </is>
      </c>
      <c r="F2" s="2" t="str"/>
      <c r="G2" s="3" t="inlineStr">
        <is>
          <t>Women's Iconic Scoop Neck Tank Top</t>
        </is>
      </c>
      <c r="H2" s="2" t="inlineStr">
        <is>
          <t>013-00-2563</t>
        </is>
      </c>
      <c r="I2" s="2" t="str"/>
      <c r="J2" s="3" t="inlineStr">
        <is>
          <t>Variegated Rib, 57% Cotton, 38% Recycled Polyester, 5% Spandex</t>
        </is>
      </c>
      <c r="K2" s="2" t="n">
        <v>8</v>
      </c>
      <c r="L2" s="2" t="inlineStr">
        <is>
          <t>Shin Won</t>
        </is>
      </c>
      <c r="M2" s="4" t="str"/>
      <c r="N2" s="2">
        <f>_xlfn.IMAGE("https://target.scene7.com/is/image/Target/GUEST_0f29cee9-7947-496b-a9b8-fdcdb1f257a1?wid=300&amp;hei=300")</f>
        <v/>
      </c>
      <c r="O2" s="5" t="inlineStr">
        <is>
          <t>https://www.target.com/p/-/A-95104406</t>
        </is>
      </c>
      <c r="P2" s="5" t="inlineStr">
        <is>
          <t>https://target.scene7.com/is/image/Target/GUEST_0f29cee9-7947-496b-a9b8-fdcdb1f257a1?wid=300&amp;hei=300</t>
        </is>
      </c>
    </row>
    <row r="3" ht="80" customHeight="1">
      <c r="A3" s="2" t="n">
        <v>2</v>
      </c>
      <c r="B3" s="2" t="inlineStr">
        <is>
          <t>2026-10</t>
        </is>
      </c>
      <c r="C3" s="2" t="inlineStr">
        <is>
          <t>Knit Top</t>
        </is>
      </c>
      <c r="D3" s="2" t="inlineStr">
        <is>
          <t>Tops</t>
        </is>
      </c>
      <c r="E3" s="2" t="inlineStr">
        <is>
          <t>Core Tank</t>
        </is>
      </c>
      <c r="F3" s="2" t="str"/>
      <c r="G3" s="3" t="inlineStr">
        <is>
          <t>Women's Vintage Cami Tank Top</t>
        </is>
      </c>
      <c r="H3" s="2" t="inlineStr">
        <is>
          <t>013-00-2043</t>
        </is>
      </c>
      <c r="I3" s="2" t="str"/>
      <c r="J3" s="3" t="inlineStr">
        <is>
          <t>2 x 2 Rib, 96% Cotton, 4% Spandex</t>
        </is>
      </c>
      <c r="K3" s="2" t="n">
        <v>8</v>
      </c>
      <c r="L3" s="2" t="inlineStr">
        <is>
          <t>Apparel Links</t>
        </is>
      </c>
      <c r="M3" s="4" t="str"/>
      <c r="N3" s="2">
        <f>_xlfn.IMAGE("https://target.scene7.com/is/image/Target/GUEST_05abee78-671f-4b3d-93b0-040b1007ebf8?wid=300&amp;hei=300")</f>
        <v/>
      </c>
      <c r="O3" s="5" t="inlineStr">
        <is>
          <t>https://www.target.com/p/-/A-95045684</t>
        </is>
      </c>
      <c r="P3" s="5" t="inlineStr">
        <is>
          <t>https://target.scene7.com/is/image/Target/GUEST_05abee78-671f-4b3d-93b0-040b1007ebf8?wid=300&amp;hei=300</t>
        </is>
      </c>
    </row>
    <row r="4" ht="80" customHeight="1">
      <c r="A4" s="2" t="n">
        <v>3</v>
      </c>
      <c r="B4" s="2" t="inlineStr">
        <is>
          <t>2026-10</t>
        </is>
      </c>
      <c r="C4" s="2" t="inlineStr">
        <is>
          <t>Knit Top</t>
        </is>
      </c>
      <c r="D4" s="2" t="inlineStr">
        <is>
          <t>Tops</t>
        </is>
      </c>
      <c r="E4" s="2" t="inlineStr">
        <is>
          <t>Core Tank</t>
        </is>
      </c>
      <c r="F4" s="2" t="str"/>
      <c r="G4" s="3" t="inlineStr">
        <is>
          <t>Women's Boyfriend Button-Front Tank Top</t>
        </is>
      </c>
      <c r="H4" s="2" t="inlineStr">
        <is>
          <t>013-10-3505</t>
        </is>
      </c>
      <c r="I4" s="2" t="str"/>
      <c r="J4" s="3" t="inlineStr">
        <is>
          <t>Jersey, 100% Cotton</t>
        </is>
      </c>
      <c r="K4" s="2" t="n">
        <v>15</v>
      </c>
      <c r="L4" s="2" t="inlineStr">
        <is>
          <t>Sae-A</t>
        </is>
      </c>
      <c r="M4" s="4" t="str"/>
      <c r="N4" s="2">
        <f>_xlfn.IMAGE("https://target.scene7.com/is/image/Target/GUEST_f07a8f8e-70cf-4ed0-833d-86ee07747fdb?wid=300&amp;hei=300")</f>
        <v/>
      </c>
      <c r="O4" s="5" t="inlineStr">
        <is>
          <t>https://www.target.com/p/-/A-95160708</t>
        </is>
      </c>
      <c r="P4" s="5" t="inlineStr">
        <is>
          <t>https://target.scene7.com/is/image/Target/GUEST_f07a8f8e-70cf-4ed0-833d-86ee07747fdb?wid=300&amp;hei=300</t>
        </is>
      </c>
    </row>
    <row r="5" ht="80" customHeight="1">
      <c r="A5" s="2" t="n">
        <v>4</v>
      </c>
      <c r="B5" s="2" t="inlineStr">
        <is>
          <t>2026-10</t>
        </is>
      </c>
      <c r="C5" s="2" t="inlineStr">
        <is>
          <t>Knit Top</t>
        </is>
      </c>
      <c r="D5" s="2" t="inlineStr">
        <is>
          <t>Tops</t>
        </is>
      </c>
      <c r="E5" s="2" t="inlineStr">
        <is>
          <t>Core Tank</t>
        </is>
      </c>
      <c r="F5" s="2" t="str"/>
      <c r="G5" s="3" t="inlineStr">
        <is>
          <t>Women's Muscle Tank Top</t>
        </is>
      </c>
      <c r="H5" s="2" t="inlineStr">
        <is>
          <t>013-10-4441</t>
        </is>
      </c>
      <c r="I5" s="2" t="str"/>
      <c r="J5" s="3" t="inlineStr">
        <is>
          <t>Jersey, 46% Modal, 30% Recycled Cotton, 20% Cotton, 4% Other Fibers</t>
        </is>
      </c>
      <c r="K5" s="2" t="n">
        <v>15</v>
      </c>
      <c r="L5" s="2" t="inlineStr">
        <is>
          <t>Avalon</t>
        </is>
      </c>
      <c r="M5" s="4" t="str"/>
      <c r="N5" s="2">
        <f>_xlfn.IMAGE("https://target.scene7.com/is/image/Target/GUEST_a054b94e-5221-4d13-9411-f39415b73ea6?wid=300&amp;hei=300")</f>
        <v/>
      </c>
      <c r="O5" s="5" t="inlineStr">
        <is>
          <t>https://www.target.com/p/-/A-1011277468</t>
        </is>
      </c>
      <c r="P5" s="5" t="inlineStr">
        <is>
          <t>https://target.scene7.com/is/image/Target/GUEST_a054b94e-5221-4d13-9411-f39415b73ea6?wid=300&amp;hei=300</t>
        </is>
      </c>
    </row>
    <row r="6" ht="80" customHeight="1">
      <c r="A6" s="2" t="n">
        <v>5</v>
      </c>
      <c r="B6" s="2" t="inlineStr">
        <is>
          <t>2026-10</t>
        </is>
      </c>
      <c r="C6" s="2" t="inlineStr">
        <is>
          <t>Knit Top</t>
        </is>
      </c>
      <c r="D6" s="2" t="inlineStr">
        <is>
          <t>Tops</t>
        </is>
      </c>
      <c r="E6" s="2" t="inlineStr">
        <is>
          <t>Core Tank</t>
        </is>
      </c>
      <c r="F6" s="2" t="str"/>
      <c r="G6" s="3" t="inlineStr">
        <is>
          <t>Women's Henley Tank Top</t>
        </is>
      </c>
      <c r="H6" s="2" t="inlineStr">
        <is>
          <t>013-14-0817</t>
        </is>
      </c>
      <c r="I6" s="2" t="inlineStr">
        <is>
          <t>013-14-0843</t>
        </is>
      </c>
      <c r="J6" s="3" t="inlineStr">
        <is>
          <t>Variegated Rib, 50% Cotton, 50% Recycled Polyester</t>
        </is>
      </c>
      <c r="K6" s="2" t="n">
        <v>15</v>
      </c>
      <c r="L6" s="2" t="inlineStr">
        <is>
          <t>Apparel Links</t>
        </is>
      </c>
      <c r="M6" s="4" t="str"/>
      <c r="N6" s="2">
        <f>_xlfn.IMAGE("https://target.scene7.com/is/image/Target/GUEST_4126d5de-a1c6-463a-8ff6-04da3c5d110b?wid=300&amp;hei=300")</f>
        <v/>
      </c>
      <c r="O6" s="5" t="inlineStr">
        <is>
          <t>https://www.target.com/p/-/A-95010837</t>
        </is>
      </c>
      <c r="P6" s="5" t="inlineStr">
        <is>
          <t>https://target.scene7.com/is/image/Target/GUEST_4126d5de-a1c6-463a-8ff6-04da3c5d110b?wid=300&amp;hei=300</t>
        </is>
      </c>
    </row>
    <row r="7" ht="80" customHeight="1">
      <c r="A7" s="2" t="n">
        <v>6</v>
      </c>
      <c r="B7" s="2" t="inlineStr">
        <is>
          <t>2026-10</t>
        </is>
      </c>
      <c r="C7" s="2" t="inlineStr">
        <is>
          <t>Knit Top</t>
        </is>
      </c>
      <c r="D7" s="2" t="inlineStr">
        <is>
          <t>Tops</t>
        </is>
      </c>
      <c r="E7" s="2" t="inlineStr">
        <is>
          <t>Core Tank</t>
        </is>
      </c>
      <c r="F7" s="2" t="str"/>
      <c r="G7" s="3" t="inlineStr">
        <is>
          <t>Women's Scoop Tank</t>
        </is>
      </c>
      <c r="H7" s="2" t="inlineStr">
        <is>
          <t>013-00-1218</t>
        </is>
      </c>
      <c r="I7" s="2" t="str"/>
      <c r="J7" s="3" t="inlineStr">
        <is>
          <t>2 x 2 Rib, 59% Cotton, 39% Recycled Polyester, 2% Spandex</t>
        </is>
      </c>
      <c r="K7" s="2" t="n">
        <v>8</v>
      </c>
      <c r="L7" s="2" t="inlineStr">
        <is>
          <t>Shin Won</t>
        </is>
      </c>
      <c r="M7" s="4" t="str"/>
      <c r="N7" s="2">
        <f>_xlfn.IMAGE("https://target.scene7.com/is/image/Target/GUEST_c8adfbf4-b636-4217-b38a-a62aa227cd85?wid=300&amp;hei=300")</f>
        <v/>
      </c>
      <c r="O7" s="5" t="inlineStr">
        <is>
          <t>https://www.target.com/p/-/A-1011703235</t>
        </is>
      </c>
      <c r="P7" s="5" t="inlineStr">
        <is>
          <t>https://target.scene7.com/is/image/Target/GUEST_c8adfbf4-b636-4217-b38a-a62aa227cd85?wid=300&amp;hei=300</t>
        </is>
      </c>
    </row>
    <row r="8" ht="80" customHeight="1">
      <c r="A8" s="2" t="n">
        <v>7</v>
      </c>
      <c r="B8" s="2" t="inlineStr">
        <is>
          <t>2026-10</t>
        </is>
      </c>
      <c r="C8" s="2" t="inlineStr">
        <is>
          <t>Knit Top</t>
        </is>
      </c>
      <c r="D8" s="2" t="inlineStr">
        <is>
          <t>Tops</t>
        </is>
      </c>
      <c r="E8" s="2" t="inlineStr">
        <is>
          <t>Core Tank</t>
        </is>
      </c>
      <c r="F8" s="2" t="str"/>
      <c r="G8" s="3" t="inlineStr">
        <is>
          <t>Women's Iconic Crew Tank Top</t>
        </is>
      </c>
      <c r="H8" s="2" t="inlineStr">
        <is>
          <t>013-00-1198</t>
        </is>
      </c>
      <c r="I8" s="2" t="str"/>
      <c r="J8" s="3" t="inlineStr">
        <is>
          <t>1 x 1 Rib, 2 x 2 Rib, 94% Cotton, 6% Spandex</t>
        </is>
      </c>
      <c r="K8" s="2" t="n">
        <v>8</v>
      </c>
      <c r="L8" s="2" t="inlineStr">
        <is>
          <t>Sae-A</t>
        </is>
      </c>
      <c r="M8" s="4" t="str"/>
      <c r="N8" s="2">
        <f>_xlfn.IMAGE("https://target.scene7.com/is/image/Target/GUEST_05046857-d20e-4f09-82ed-a4d7f4e144eb?wid=300&amp;hei=300")</f>
        <v/>
      </c>
      <c r="O8" s="5" t="inlineStr">
        <is>
          <t>https://www.target.com/p/-/A-1011703169</t>
        </is>
      </c>
      <c r="P8" s="5" t="inlineStr">
        <is>
          <t>https://target.scene7.com/is/image/Target/GUEST_05046857-d20e-4f09-82ed-a4d7f4e144eb?wid=300&amp;hei=300</t>
        </is>
      </c>
    </row>
    <row r="9" ht="80" customHeight="1">
      <c r="A9" s="2" t="n">
        <v>8</v>
      </c>
      <c r="B9" s="2" t="inlineStr">
        <is>
          <t>2026-10</t>
        </is>
      </c>
      <c r="C9" s="2" t="inlineStr">
        <is>
          <t>Knit Top</t>
        </is>
      </c>
      <c r="D9" s="2" t="inlineStr">
        <is>
          <t>Tops</t>
        </is>
      </c>
      <c r="E9" s="2" t="inlineStr">
        <is>
          <t>Core Tank</t>
        </is>
      </c>
      <c r="F9" s="2" t="str"/>
      <c r="G9" s="3" t="inlineStr">
        <is>
          <t>Women's Slub Knit Tank Top</t>
        </is>
      </c>
      <c r="H9" s="2" t="inlineStr">
        <is>
          <t>013-14-0870</t>
        </is>
      </c>
      <c r="I9" s="2" t="str"/>
      <c r="J9" s="3" t="inlineStr">
        <is>
          <t>Jersey, 55% Cotton, 45% Recycled Polyester</t>
        </is>
      </c>
      <c r="K9" s="2" t="n">
        <v>12</v>
      </c>
      <c r="L9" s="2" t="inlineStr">
        <is>
          <t>Shin Won</t>
        </is>
      </c>
      <c r="M9" s="4" t="str"/>
      <c r="N9" s="2">
        <f>_xlfn.IMAGE("https://target.scene7.com/is/image/Target/GUEST_377ecb9c-0aed-43e2-8402-9b3c27fd52ea?wid=300&amp;hei=300")</f>
        <v/>
      </c>
      <c r="O9" s="5" t="inlineStr">
        <is>
          <t>https://www.target.com/p/-/A-95011323</t>
        </is>
      </c>
      <c r="P9" s="5" t="inlineStr">
        <is>
          <t>https://target.scene7.com/is/image/Target/GUEST_377ecb9c-0aed-43e2-8402-9b3c27fd52ea?wid=300&amp;hei=300</t>
        </is>
      </c>
    </row>
    <row r="10" ht="80" customHeight="1">
      <c r="A10" s="2" t="n">
        <v>9</v>
      </c>
      <c r="B10" s="2" t="inlineStr">
        <is>
          <t>2026-10</t>
        </is>
      </c>
      <c r="C10" s="2" t="inlineStr">
        <is>
          <t>Knit Top</t>
        </is>
      </c>
      <c r="D10" s="2" t="inlineStr">
        <is>
          <t>Tops</t>
        </is>
      </c>
      <c r="E10" s="2" t="inlineStr">
        <is>
          <t>Core SS</t>
        </is>
      </c>
      <c r="F10" s="2" t="str"/>
      <c r="G10" s="3" t="inlineStr">
        <is>
          <t>Women's Boxy Vintage Cotton Shirt</t>
        </is>
      </c>
      <c r="H10" s="2" t="inlineStr">
        <is>
          <t>013-14-2526</t>
        </is>
      </c>
      <c r="I10" s="2" t="str"/>
      <c r="J10" s="3" t="inlineStr">
        <is>
          <t>Jersey, 100% Cotton</t>
        </is>
      </c>
      <c r="K10" s="2" t="n">
        <v>15</v>
      </c>
      <c r="L10" s="2" t="inlineStr">
        <is>
          <t>Apparel Links</t>
        </is>
      </c>
      <c r="M10" s="4" t="str"/>
      <c r="N10" s="2">
        <f>_xlfn.IMAGE("https://target.scene7.com/is/image/Target/GUEST_0437e1dc-a43b-4b13-b4fc-24c5219845d2?wid=300&amp;hei=300")</f>
        <v/>
      </c>
      <c r="O10" s="5" t="inlineStr">
        <is>
          <t>https://www.target.com/p/-/A-1010623365</t>
        </is>
      </c>
      <c r="P10" s="5" t="inlineStr">
        <is>
          <t>https://target.scene7.com/is/image/Target/GUEST_0437e1dc-a43b-4b13-b4fc-24c5219845d2?wid=300&amp;hei=300</t>
        </is>
      </c>
    </row>
    <row r="11" ht="80" customHeight="1">
      <c r="A11" s="2" t="n">
        <v>10</v>
      </c>
      <c r="B11" s="2" t="inlineStr">
        <is>
          <t>2026-10</t>
        </is>
      </c>
      <c r="C11" s="2" t="inlineStr">
        <is>
          <t>Knit Top</t>
        </is>
      </c>
      <c r="D11" s="2" t="inlineStr">
        <is>
          <t>Tops</t>
        </is>
      </c>
      <c r="E11" s="2" t="inlineStr">
        <is>
          <t>Core SS</t>
        </is>
      </c>
      <c r="F11" s="2" t="str"/>
      <c r="G11" s="3" t="inlineStr">
        <is>
          <t>Women's Vintage Jersey Crewneck T-Shirt</t>
        </is>
      </c>
      <c r="H11" s="2" t="inlineStr">
        <is>
          <t>013-14-1337</t>
        </is>
      </c>
      <c r="I11" s="2" t="str"/>
      <c r="J11" s="3" t="inlineStr">
        <is>
          <t>Jersey, 100% Cotton</t>
        </is>
      </c>
      <c r="K11" s="2" t="n">
        <v>15</v>
      </c>
      <c r="L11" s="2" t="inlineStr">
        <is>
          <t>Apparel Links</t>
        </is>
      </c>
      <c r="M11" s="4" t="str"/>
      <c r="N11" s="2">
        <f>_xlfn.IMAGE("https://target.scene7.com/is/image/Target/GUEST_a27e8620-106c-4505-bc38-d275969f477f?wid=300&amp;hei=300")</f>
        <v/>
      </c>
      <c r="O11" s="5" t="inlineStr">
        <is>
          <t>https://www.target.com/p/-/A-95079464</t>
        </is>
      </c>
      <c r="P11" s="5" t="inlineStr">
        <is>
          <t>https://target.scene7.com/is/image/Target/GUEST_a27e8620-106c-4505-bc38-d275969f477f?wid=300&amp;hei=300</t>
        </is>
      </c>
    </row>
    <row r="12" ht="80" customHeight="1">
      <c r="A12" s="2" t="n">
        <v>11</v>
      </c>
      <c r="B12" s="2" t="inlineStr">
        <is>
          <t>2026-10</t>
        </is>
      </c>
      <c r="C12" s="2" t="inlineStr">
        <is>
          <t>Knit Top</t>
        </is>
      </c>
      <c r="D12" s="2" t="inlineStr">
        <is>
          <t>Tops</t>
        </is>
      </c>
      <c r="E12" s="2" t="inlineStr">
        <is>
          <t>Core SS</t>
        </is>
      </c>
      <c r="F12" s="2" t="str"/>
      <c r="G12" s="3" t="inlineStr">
        <is>
          <t>Women's Short Sleeve Iconic V-Neck T-Shirt</t>
        </is>
      </c>
      <c r="H12" s="2" t="inlineStr">
        <is>
          <t>013-00-2243</t>
        </is>
      </c>
      <c r="I12" s="2" t="str"/>
      <c r="J12" s="3" t="inlineStr">
        <is>
          <t>Jersey, 100% Cotton</t>
        </is>
      </c>
      <c r="K12" s="2" t="n">
        <v>8</v>
      </c>
      <c r="L12" s="2" t="inlineStr">
        <is>
          <t>Shin Won</t>
        </is>
      </c>
      <c r="M12" s="4" t="str"/>
      <c r="N12" s="2">
        <f>_xlfn.IMAGE("https://target.scene7.com/is/image/Target/GUEST_112f8a49-c0fc-49c6-9f3a-4fba48621983?wid=300&amp;hei=300")</f>
        <v/>
      </c>
      <c r="O12" s="5" t="inlineStr">
        <is>
          <t>https://www.target.com/p/-/A-95079308</t>
        </is>
      </c>
      <c r="P12" s="5" t="inlineStr">
        <is>
          <t>https://target.scene7.com/is/image/Target/GUEST_112f8a49-c0fc-49c6-9f3a-4fba48621983?wid=300&amp;hei=300</t>
        </is>
      </c>
    </row>
    <row r="13" ht="80" customHeight="1">
      <c r="A13" s="2" t="n">
        <v>12</v>
      </c>
      <c r="B13" s="2" t="inlineStr">
        <is>
          <t>2026-10</t>
        </is>
      </c>
      <c r="C13" s="2" t="inlineStr">
        <is>
          <t>Knit Top</t>
        </is>
      </c>
      <c r="D13" s="2" t="inlineStr">
        <is>
          <t>Tops</t>
        </is>
      </c>
      <c r="E13" s="2" t="inlineStr">
        <is>
          <t>Core SS</t>
        </is>
      </c>
      <c r="F13" s="2" t="str"/>
      <c r="G13" s="3" t="inlineStr">
        <is>
          <t>Women's Short Sleeve Lived T-Shirt</t>
        </is>
      </c>
      <c r="H13" s="2" t="inlineStr">
        <is>
          <t>013-14-2326</t>
        </is>
      </c>
      <c r="I13" s="2" t="str"/>
      <c r="J13" s="3" t="inlineStr">
        <is>
          <t>Jersey, 100% Cotton</t>
        </is>
      </c>
      <c r="K13" s="2" t="n">
        <v>15</v>
      </c>
      <c r="L13" s="2" t="inlineStr">
        <is>
          <t>Apparel Links</t>
        </is>
      </c>
      <c r="M13" s="4" t="str"/>
      <c r="N13" s="2">
        <f>_xlfn.IMAGE("https://target.scene7.com/is/image/Target/GUEST_707d8e55-16ae-4acb-884e-346135f2a84a?wid=300&amp;hei=300")</f>
        <v/>
      </c>
      <c r="O13" s="5" t="inlineStr">
        <is>
          <t>https://www.target.com/p/-/A-95265719</t>
        </is>
      </c>
      <c r="P13" s="5" t="inlineStr">
        <is>
          <t>https://target.scene7.com/is/image/Target/GUEST_707d8e55-16ae-4acb-884e-346135f2a84a?wid=300&amp;hei=300</t>
        </is>
      </c>
    </row>
    <row r="14" ht="80" customHeight="1">
      <c r="A14" s="2" t="n">
        <v>13</v>
      </c>
      <c r="B14" s="2" t="inlineStr">
        <is>
          <t>2026-10</t>
        </is>
      </c>
      <c r="C14" s="2" t="inlineStr">
        <is>
          <t>Knit Top</t>
        </is>
      </c>
      <c r="D14" s="2" t="inlineStr">
        <is>
          <t>Tops</t>
        </is>
      </c>
      <c r="E14" s="2" t="inlineStr">
        <is>
          <t>Core SS</t>
        </is>
      </c>
      <c r="F14" s="2" t="str"/>
      <c r="G14" s="3" t="inlineStr">
        <is>
          <t>Women's Short Sleeve Boyfriend T-Shirt</t>
        </is>
      </c>
      <c r="H14" s="2" t="inlineStr">
        <is>
          <t>013-14-1234</t>
        </is>
      </c>
      <c r="I14" s="2" t="str"/>
      <c r="J14" s="3" t="inlineStr">
        <is>
          <t>Knit, Jersey, 100% Cotton</t>
        </is>
      </c>
      <c r="K14" s="2" t="n">
        <v>15</v>
      </c>
      <c r="L14" s="2" t="inlineStr">
        <is>
          <t>Sae-A</t>
        </is>
      </c>
      <c r="M14" s="4" t="str"/>
      <c r="N14" s="2">
        <f>_xlfn.IMAGE("https://target.scene7.com/is/image/Target/GUEST_ea704e69-41ce-4fc2-acda-c1d852c4d8c4?wid=300&amp;hei=300")</f>
        <v/>
      </c>
      <c r="O14" s="5" t="inlineStr">
        <is>
          <t>https://www.target.com/p/-/A-95074191</t>
        </is>
      </c>
      <c r="P14" s="5" t="inlineStr">
        <is>
          <t>https://target.scene7.com/is/image/Target/GUEST_ea704e69-41ce-4fc2-acda-c1d852c4d8c4?wid=300&amp;hei=300</t>
        </is>
      </c>
    </row>
    <row r="15" ht="80" customHeight="1">
      <c r="A15" s="2" t="n">
        <v>14</v>
      </c>
      <c r="B15" s="2" t="inlineStr">
        <is>
          <t>2026-10</t>
        </is>
      </c>
      <c r="C15" s="2" t="inlineStr">
        <is>
          <t>Knit Top</t>
        </is>
      </c>
      <c r="D15" s="2" t="inlineStr">
        <is>
          <t>Tops</t>
        </is>
      </c>
      <c r="E15" s="2" t="inlineStr">
        <is>
          <t>Core SS</t>
        </is>
      </c>
      <c r="F15" s="2" t="str"/>
      <c r="G15" s="3" t="inlineStr">
        <is>
          <t>Women's Short Sleeve Ribbed Scoop Neck Shirt</t>
        </is>
      </c>
      <c r="H15" s="2" t="inlineStr">
        <is>
          <t>013-00-1095</t>
        </is>
      </c>
      <c r="I15" s="2" t="str"/>
      <c r="J15" s="3" t="inlineStr">
        <is>
          <t>Variegated Rib, 57% Cotton, 38% Recycled Polyester, 5% Spandex</t>
        </is>
      </c>
      <c r="K15" s="2" t="n">
        <v>12</v>
      </c>
      <c r="L15" s="2" t="inlineStr">
        <is>
          <t>Shin Won</t>
        </is>
      </c>
      <c r="M15" s="4" t="str"/>
      <c r="N15" s="2">
        <f>_xlfn.IMAGE("https://target.scene7.com/is/image/Target/GUEST_259c269a-f335-43ef-9e2e-68e16e5ab078?wid=300&amp;hei=300")</f>
        <v/>
      </c>
      <c r="O15" s="5" t="inlineStr">
        <is>
          <t>https://www.target.com/p/-/A-1011652179</t>
        </is>
      </c>
      <c r="P15" s="5" t="inlineStr">
        <is>
          <t>https://target.scene7.com/is/image/Target/GUEST_259c269a-f335-43ef-9e2e-68e16e5ab078?wid=300&amp;hei=300</t>
        </is>
      </c>
    </row>
    <row r="16" ht="80" customHeight="1">
      <c r="A16" s="2" t="n">
        <v>15</v>
      </c>
      <c r="B16" s="2" t="inlineStr">
        <is>
          <t>2026-10</t>
        </is>
      </c>
      <c r="C16" s="2" t="inlineStr">
        <is>
          <t>Knit Top</t>
        </is>
      </c>
      <c r="D16" s="2" t="inlineStr">
        <is>
          <t>Tops</t>
        </is>
      </c>
      <c r="E16" s="2" t="inlineStr">
        <is>
          <t>Core SS</t>
        </is>
      </c>
      <c r="F16" s="2" t="str"/>
      <c r="G16" s="3" t="inlineStr">
        <is>
          <t>Women's Iconic Crew Tee</t>
        </is>
      </c>
      <c r="H16" s="2" t="inlineStr">
        <is>
          <t>013-00-1171</t>
        </is>
      </c>
      <c r="I16" s="2" t="str"/>
      <c r="J16" s="3" t="inlineStr">
        <is>
          <t>Jersey, 100% Cotton</t>
        </is>
      </c>
      <c r="K16" s="2" t="n">
        <v>8</v>
      </c>
      <c r="L16" s="2" t="inlineStr">
        <is>
          <t>Shin Won</t>
        </is>
      </c>
      <c r="M16" s="4" t="str"/>
      <c r="N16" s="2">
        <f>_xlfn.IMAGE("https://target.scene7.com/is/image/Target/GUEST_307278a1-60ac-4f25-b68f-89c3a52de4ed?wid=300&amp;hei=300")</f>
        <v/>
      </c>
      <c r="O16" s="5" t="inlineStr">
        <is>
          <t>https://www.target.com/p/-/A-1011703082</t>
        </is>
      </c>
      <c r="P16" s="5" t="inlineStr">
        <is>
          <t>https://target.scene7.com/is/image/Target/GUEST_307278a1-60ac-4f25-b68f-89c3a52de4ed?wid=300&amp;hei=300</t>
        </is>
      </c>
    </row>
    <row r="17" ht="80" customHeight="1">
      <c r="A17" s="2" t="n">
        <v>16</v>
      </c>
      <c r="B17" s="2" t="inlineStr">
        <is>
          <t>2026-10</t>
        </is>
      </c>
      <c r="C17" s="2" t="inlineStr">
        <is>
          <t>Knit Top</t>
        </is>
      </c>
      <c r="D17" s="2" t="inlineStr">
        <is>
          <t>Tops</t>
        </is>
      </c>
      <c r="E17" s="2" t="inlineStr">
        <is>
          <t>Core SS</t>
        </is>
      </c>
      <c r="F17" s="2" t="str"/>
      <c r="G17" s="3" t="inlineStr">
        <is>
          <t>Women's Heritage Crew T-Shirt</t>
        </is>
      </c>
      <c r="H17" s="2" t="inlineStr">
        <is>
          <t>013-00-0941</t>
        </is>
      </c>
      <c r="I17" s="2" t="str"/>
      <c r="J17" s="3" t="inlineStr">
        <is>
          <t>1 x 1 Rib, 74% Cotton, 26% Recycled Cotton</t>
        </is>
      </c>
      <c r="K17" s="2" t="n">
        <v>10</v>
      </c>
      <c r="L17" s="2" t="inlineStr">
        <is>
          <t>Sae-A</t>
        </is>
      </c>
      <c r="M17" s="4" t="str"/>
      <c r="N17" s="2">
        <f>_xlfn.IMAGE("https://target.scene7.com/is/image/Target/GUEST_810f019a-9d2d-4ec8-b9b6-e4d374c1f8bf?wid=300&amp;hei=300")</f>
        <v/>
      </c>
      <c r="O17" s="5" t="inlineStr">
        <is>
          <t>https://www.target.com/p/-/A-95280202</t>
        </is>
      </c>
      <c r="P17" s="5" t="inlineStr">
        <is>
          <t>https://target.scene7.com/is/image/Target/GUEST_810f019a-9d2d-4ec8-b9b6-e4d374c1f8bf?wid=300&amp;hei=300</t>
        </is>
      </c>
    </row>
    <row r="18" ht="80" customHeight="1">
      <c r="A18" s="2" t="n">
        <v>17</v>
      </c>
      <c r="B18" s="2" t="inlineStr">
        <is>
          <t>2026-10</t>
        </is>
      </c>
      <c r="C18" s="2" t="inlineStr">
        <is>
          <t>Knit Top</t>
        </is>
      </c>
      <c r="D18" s="2" t="inlineStr">
        <is>
          <t>Tops</t>
        </is>
      </c>
      <c r="E18" s="2" t="inlineStr">
        <is>
          <t>Core SS</t>
        </is>
      </c>
      <c r="F18" s="6" t="inlineStr">
        <is>
          <t>NEW</t>
        </is>
      </c>
      <c r="G18" s="3" t="inlineStr">
        <is>
          <t>Women's Shrunken Iconic Crew Tee</t>
        </is>
      </c>
      <c r="H18" s="2" t="inlineStr">
        <is>
          <t>013-00-1133</t>
        </is>
      </c>
      <c r="I18" s="2" t="str"/>
      <c r="J18" s="3" t="inlineStr">
        <is>
          <t>Jersey, 100% Cotton</t>
        </is>
      </c>
      <c r="K18" s="2" t="n">
        <v>10</v>
      </c>
      <c r="L18" s="7" t="inlineStr">
        <is>
          <t>(미기재)</t>
        </is>
      </c>
      <c r="M18" s="4" t="str"/>
      <c r="N18" s="2">
        <f>_xlfn.IMAGE("https://target.scene7.com/is/image/Target/GUEST_075d9dbf-faff-461f-a8c0-4f0e5a549860?wid=300&amp;hei=300")</f>
        <v/>
      </c>
      <c r="O18" s="5" t="inlineStr">
        <is>
          <t>https://www.target.com/p/-/A-1011702972</t>
        </is>
      </c>
      <c r="P18" s="5" t="inlineStr">
        <is>
          <t>https://target.scene7.com/is/image/Target/GUEST_075d9dbf-faff-461f-a8c0-4f0e5a549860?wid=300&amp;hei=300</t>
        </is>
      </c>
    </row>
    <row r="19" ht="80" customHeight="1">
      <c r="A19" s="2" t="n">
        <v>18</v>
      </c>
      <c r="B19" s="2" t="inlineStr">
        <is>
          <t>2026-10</t>
        </is>
      </c>
      <c r="C19" s="2" t="inlineStr">
        <is>
          <t>Knit Top</t>
        </is>
      </c>
      <c r="D19" s="2" t="inlineStr">
        <is>
          <t>Tops</t>
        </is>
      </c>
      <c r="E19" s="2" t="inlineStr">
        <is>
          <t>Core LS</t>
        </is>
      </c>
      <c r="F19" s="2" t="str"/>
      <c r="G19" s="3" t="inlineStr">
        <is>
          <t>Women's Long Sleeve Boyfriend T-Shirt</t>
        </is>
      </c>
      <c r="H19" s="2" t="inlineStr">
        <is>
          <t>013-14-2113</t>
        </is>
      </c>
      <c r="I19" s="2" t="str"/>
      <c r="J19" s="3" t="inlineStr">
        <is>
          <t>Jersey, 80% Cotton, 20% Recycled Cotton</t>
        </is>
      </c>
      <c r="K19" s="2" t="n">
        <v>18</v>
      </c>
      <c r="L19" s="2" t="inlineStr">
        <is>
          <t>Shin Won</t>
        </is>
      </c>
      <c r="M19" s="4" t="str"/>
      <c r="N19" s="2">
        <f>_xlfn.IMAGE("https://target.scene7.com/is/image/Target/GUEST_0903c42e-b25d-47c3-b377-00469cc00f80?wid=300&amp;hei=300")</f>
        <v/>
      </c>
      <c r="O19" s="5" t="inlineStr">
        <is>
          <t>https://www.target.com/p/-/A-95236579</t>
        </is>
      </c>
      <c r="P19" s="5" t="inlineStr">
        <is>
          <t>https://target.scene7.com/is/image/Target/GUEST_0903c42e-b25d-47c3-b377-00469cc00f80?wid=300&amp;hei=300</t>
        </is>
      </c>
    </row>
    <row r="20" ht="80" customHeight="1">
      <c r="A20" s="2" t="n">
        <v>19</v>
      </c>
      <c r="B20" s="2" t="inlineStr">
        <is>
          <t>2026-10</t>
        </is>
      </c>
      <c r="C20" s="2" t="inlineStr">
        <is>
          <t>Knit Top</t>
        </is>
      </c>
      <c r="D20" s="2" t="inlineStr">
        <is>
          <t>Tops</t>
        </is>
      </c>
      <c r="E20" s="2" t="inlineStr">
        <is>
          <t>Core LS</t>
        </is>
      </c>
      <c r="F20" s="2" t="str"/>
      <c r="G20" s="3" t="inlineStr">
        <is>
          <t>Women's Long Sleeve Heritage Deep V-Neck Henley Shirt</t>
        </is>
      </c>
      <c r="H20" s="2" t="inlineStr">
        <is>
          <t>013-14-2102</t>
        </is>
      </c>
      <c r="I20" s="2" t="str"/>
      <c r="J20" s="3" t="inlineStr">
        <is>
          <t>Variegated Rib, 57% Cotton, 38% Recycled Polyester, 5% Spandex</t>
        </is>
      </c>
      <c r="K20" s="2" t="n">
        <v>18</v>
      </c>
      <c r="L20" s="2" t="inlineStr">
        <is>
          <t>Shin Won</t>
        </is>
      </c>
      <c r="M20" s="4" t="str"/>
      <c r="N20" s="2">
        <f>_xlfn.IMAGE("https://target.scene7.com/is/image/Target/GUEST_a399497f-6f9b-4ccc-91d8-4981fcc9560c?wid=300&amp;hei=300")</f>
        <v/>
      </c>
      <c r="O20" s="5" t="inlineStr">
        <is>
          <t>https://www.target.com/p/-/A-95236158</t>
        </is>
      </c>
      <c r="P20" s="5" t="inlineStr">
        <is>
          <t>https://target.scene7.com/is/image/Target/GUEST_a399497f-6f9b-4ccc-91d8-4981fcc9560c?wid=300&amp;hei=300</t>
        </is>
      </c>
    </row>
    <row r="21" ht="80" customHeight="1">
      <c r="A21" s="2" t="n">
        <v>20</v>
      </c>
      <c r="B21" s="2" t="inlineStr">
        <is>
          <t>2026-10</t>
        </is>
      </c>
      <c r="C21" s="2" t="inlineStr">
        <is>
          <t>Knit Top</t>
        </is>
      </c>
      <c r="D21" s="2" t="inlineStr">
        <is>
          <t>Tops</t>
        </is>
      </c>
      <c r="E21" s="2" t="inlineStr">
        <is>
          <t>Fashion Top</t>
        </is>
      </c>
      <c r="F21" s="2" t="str"/>
      <c r="G21" s="3" t="inlineStr">
        <is>
          <t>Women's Long Sleeve Heirloom Boat Neck T-Shirt</t>
        </is>
      </c>
      <c r="H21" s="2" t="inlineStr">
        <is>
          <t>013-14-2012</t>
        </is>
      </c>
      <c r="I21" s="2" t="str"/>
      <c r="J21" s="3" t="inlineStr">
        <is>
          <t>Variegated Rib, 50% Cotton, 50% Recycled Polyester</t>
        </is>
      </c>
      <c r="K21" s="2" t="n">
        <v>20</v>
      </c>
      <c r="L21" s="2" t="inlineStr">
        <is>
          <t>Apparel Links</t>
        </is>
      </c>
      <c r="M21" s="4" t="str"/>
      <c r="N21" s="2">
        <f>_xlfn.IMAGE("https://target.scene7.com/is/image/Target/GUEST_2ca37bc5-4cb5-4fd5-94ef-fd2f4f7b8d68?wid=300&amp;hei=300")</f>
        <v/>
      </c>
      <c r="O21" s="5" t="inlineStr">
        <is>
          <t>https://www.target.com/p/-/A-95211696</t>
        </is>
      </c>
      <c r="P21" s="5" t="inlineStr">
        <is>
          <t>https://target.scene7.com/is/image/Target/GUEST_2ca37bc5-4cb5-4fd5-94ef-fd2f4f7b8d68?wid=300&amp;hei=300</t>
        </is>
      </c>
    </row>
    <row r="22" ht="80" customHeight="1">
      <c r="A22" s="2" t="n">
        <v>21</v>
      </c>
      <c r="B22" s="2" t="inlineStr">
        <is>
          <t>2026-10</t>
        </is>
      </c>
      <c r="C22" s="2" t="inlineStr">
        <is>
          <t>Knit Top</t>
        </is>
      </c>
      <c r="D22" s="2" t="inlineStr">
        <is>
          <t>Tops</t>
        </is>
      </c>
      <c r="E22" s="2" t="inlineStr">
        <is>
          <t>Fashion Top</t>
        </is>
      </c>
      <c r="F22" s="2" t="str"/>
      <c r="G22" s="3" t="inlineStr">
        <is>
          <t>Women's Elbow Sleeve Heirloom Henley Shirt</t>
        </is>
      </c>
      <c r="H22" s="2" t="inlineStr">
        <is>
          <t>013-14-1703</t>
        </is>
      </c>
      <c r="I22" s="2" t="str"/>
      <c r="J22" s="3" t="inlineStr">
        <is>
          <t>Variegated Rib, 50% Cotton, 50% Recycled Polyester</t>
        </is>
      </c>
      <c r="K22" s="2" t="n">
        <v>18</v>
      </c>
      <c r="L22" s="2" t="inlineStr">
        <is>
          <t>Apparel Links</t>
        </is>
      </c>
      <c r="M22" s="4" t="str"/>
      <c r="N22" s="2">
        <f>_xlfn.IMAGE("https://target.scene7.com/is/image/Target/GUEST_bc432ebb-4523-4f33-97b8-97e98eaff065?wid=300&amp;hei=300")</f>
        <v/>
      </c>
      <c r="O22" s="5" t="inlineStr">
        <is>
          <t>https://www.target.com/p/-/A-95161019</t>
        </is>
      </c>
      <c r="P22" s="5" t="inlineStr">
        <is>
          <t>https://target.scene7.com/is/image/Target/GUEST_bc432ebb-4523-4f33-97b8-97e98eaff065?wid=300&amp;hei=300</t>
        </is>
      </c>
    </row>
    <row r="23" ht="80" customHeight="1">
      <c r="A23" s="2" t="n">
        <v>22</v>
      </c>
      <c r="B23" s="2" t="inlineStr">
        <is>
          <t>2026-10</t>
        </is>
      </c>
      <c r="C23" s="2" t="inlineStr">
        <is>
          <t>Knit Top</t>
        </is>
      </c>
      <c r="D23" s="2" t="inlineStr">
        <is>
          <t>Tops</t>
        </is>
      </c>
      <c r="E23" s="2" t="inlineStr">
        <is>
          <t>Fashion Top</t>
        </is>
      </c>
      <c r="F23" s="2" t="str"/>
      <c r="G23" s="3" t="inlineStr">
        <is>
          <t>Women's Short Sleeve Turtle Mock Neck T-Shirt</t>
        </is>
      </c>
      <c r="H23" s="2" t="inlineStr">
        <is>
          <t>013-14-1541</t>
        </is>
      </c>
      <c r="I23" s="2" t="str"/>
      <c r="J23" s="3" t="inlineStr">
        <is>
          <t>Variegated Rib, 92% Cotton, 8% Spandex</t>
        </is>
      </c>
      <c r="K23" s="2" t="n">
        <v>15</v>
      </c>
      <c r="L23" s="2" t="inlineStr">
        <is>
          <t>Sae-A</t>
        </is>
      </c>
      <c r="M23" s="4" t="str"/>
      <c r="N23" s="2">
        <f>_xlfn.IMAGE("https://target.scene7.com/is/image/Target/GUEST_1d39c487-cf75-4cbb-b3c9-d302ed26000c?wid=300&amp;hei=300")</f>
        <v/>
      </c>
      <c r="O23" s="5" t="inlineStr">
        <is>
          <t>https://www.target.com/p/-/A-95141793</t>
        </is>
      </c>
      <c r="P23" s="5" t="inlineStr">
        <is>
          <t>https://target.scene7.com/is/image/Target/GUEST_1d39c487-cf75-4cbb-b3c9-d302ed26000c?wid=300&amp;hei=300</t>
        </is>
      </c>
    </row>
    <row r="24" ht="80" customHeight="1">
      <c r="A24" s="2" t="n">
        <v>23</v>
      </c>
      <c r="B24" s="2" t="inlineStr">
        <is>
          <t>2026-10</t>
        </is>
      </c>
      <c r="C24" s="2" t="inlineStr">
        <is>
          <t>Knit Top</t>
        </is>
      </c>
      <c r="D24" s="2" t="inlineStr">
        <is>
          <t>Tops</t>
        </is>
      </c>
      <c r="E24" s="2" t="inlineStr">
        <is>
          <t>Fashion Top</t>
        </is>
      </c>
      <c r="F24" s="6" t="inlineStr">
        <is>
          <t>NEW</t>
        </is>
      </c>
      <c r="G24" s="3" t="inlineStr">
        <is>
          <t>Women's Short Sleeve Pointelle Lace V-Neck T-Shirt</t>
        </is>
      </c>
      <c r="H24" s="2" t="inlineStr">
        <is>
          <t>013-14-2212</t>
        </is>
      </c>
      <c r="I24" s="2" t="str"/>
      <c r="J24" s="3" t="inlineStr">
        <is>
          <t>Pointelle, 60% Cotton, 40% Recycled Polyester</t>
        </is>
      </c>
      <c r="K24" s="2" t="n">
        <v>18</v>
      </c>
      <c r="L24" s="7" t="inlineStr">
        <is>
          <t>(미기재)</t>
        </is>
      </c>
      <c r="M24" s="4" t="str"/>
      <c r="N24" s="2">
        <f>_xlfn.IMAGE("https://target.scene7.com/is/image/Target/GUEST_b4f19d0e-fa9c-463d-9fff-cfed5c39b1a9?wid=300&amp;hei=300")</f>
        <v/>
      </c>
      <c r="O24" s="5" t="inlineStr">
        <is>
          <t>https://www.target.com/p/-/A-95270343</t>
        </is>
      </c>
      <c r="P24" s="5" t="inlineStr">
        <is>
          <t>https://target.scene7.com/is/image/Target/GUEST_b4f19d0e-fa9c-463d-9fff-cfed5c39b1a9?wid=300&amp;hei=300</t>
        </is>
      </c>
    </row>
    <row r="25" ht="80" customHeight="1">
      <c r="A25" s="2" t="n">
        <v>24</v>
      </c>
      <c r="B25" s="2" t="inlineStr">
        <is>
          <t>2026-10</t>
        </is>
      </c>
      <c r="C25" s="2" t="inlineStr">
        <is>
          <t>Knit Top</t>
        </is>
      </c>
      <c r="D25" s="2" t="inlineStr">
        <is>
          <t>Tops</t>
        </is>
      </c>
      <c r="E25" s="2" t="inlineStr">
        <is>
          <t>Fashion Top</t>
        </is>
      </c>
      <c r="F25" s="2" t="str"/>
      <c r="G25" s="3" t="inlineStr">
        <is>
          <t>Women's Short Sleeve Contrast Rib Scoop Neck T-Shirt</t>
        </is>
      </c>
      <c r="H25" s="2" t="inlineStr">
        <is>
          <t>013-14-1442</t>
        </is>
      </c>
      <c r="I25" s="2" t="str"/>
      <c r="J25" s="3" t="inlineStr">
        <is>
          <t>Variegated Rib, 57% Cotton, 38% Recycled Polyester, 5% Spandex</t>
        </is>
      </c>
      <c r="K25" s="2" t="n">
        <v>15</v>
      </c>
      <c r="L25" s="2" t="inlineStr">
        <is>
          <t>Sae-A</t>
        </is>
      </c>
      <c r="M25" s="4" t="str"/>
      <c r="N25" s="2">
        <f>_xlfn.IMAGE("https://target.scene7.com/is/image/Target/GUEST_89cf3bc0-4947-48d4-9442-4d323633b984?wid=300&amp;hei=300")</f>
        <v/>
      </c>
      <c r="O25" s="5" t="inlineStr">
        <is>
          <t>https://www.target.com/p/-/A-95119393</t>
        </is>
      </c>
      <c r="P25" s="5" t="inlineStr">
        <is>
          <t>https://target.scene7.com/is/image/Target/GUEST_89cf3bc0-4947-48d4-9442-4d323633b984?wid=300&amp;hei=300</t>
        </is>
      </c>
    </row>
    <row r="26" ht="80" customHeight="1">
      <c r="A26" s="2" t="n">
        <v>25</v>
      </c>
      <c r="B26" s="2" t="inlineStr">
        <is>
          <t>2026-10</t>
        </is>
      </c>
      <c r="C26" s="2" t="inlineStr">
        <is>
          <t>Knit Top</t>
        </is>
      </c>
      <c r="D26" s="2" t="inlineStr">
        <is>
          <t>Tops</t>
        </is>
      </c>
      <c r="E26" s="2" t="inlineStr">
        <is>
          <t>Fashion Top</t>
        </is>
      </c>
      <c r="F26" s="2" t="str"/>
      <c r="G26" s="3" t="inlineStr">
        <is>
          <t>Women's Short Sleeve Split Neck Henley Shirt</t>
        </is>
      </c>
      <c r="H26" s="2" t="inlineStr">
        <is>
          <t>013-14-1583</t>
        </is>
      </c>
      <c r="I26" s="2" t="str"/>
      <c r="J26" s="3" t="inlineStr">
        <is>
          <t>Ribbed, 64% Cotton, 30% Recycled Cotton, 6% Spandex</t>
        </is>
      </c>
      <c r="K26" s="2" t="n">
        <v>15</v>
      </c>
      <c r="L26" s="2" t="inlineStr">
        <is>
          <t>Avalon</t>
        </is>
      </c>
      <c r="M26" s="4" t="str"/>
      <c r="N26" s="2">
        <f>_xlfn.IMAGE("https://target.scene7.com/is/image/Target/GUEST_1230b768-b230-4d00-8b68-c69f5b741de0?wid=300&amp;hei=300")</f>
        <v/>
      </c>
      <c r="O26" s="5" t="inlineStr">
        <is>
          <t>https://www.target.com/p/-/A-95151615</t>
        </is>
      </c>
      <c r="P26" s="5" t="inlineStr">
        <is>
          <t>https://target.scene7.com/is/image/Target/GUEST_1230b768-b230-4d00-8b68-c69f5b741de0?wid=300&amp;hei=300</t>
        </is>
      </c>
    </row>
    <row r="27" ht="80" customHeight="1">
      <c r="A27" s="2" t="n">
        <v>26</v>
      </c>
      <c r="B27" s="2" t="inlineStr">
        <is>
          <t>2026-10</t>
        </is>
      </c>
      <c r="C27" s="2" t="inlineStr">
        <is>
          <t>Knit Top</t>
        </is>
      </c>
      <c r="D27" s="2" t="inlineStr">
        <is>
          <t>Tops</t>
        </is>
      </c>
      <c r="E27" s="2" t="inlineStr">
        <is>
          <t>Fashion Top</t>
        </is>
      </c>
      <c r="F27" s="2" t="str"/>
      <c r="G27" s="3" t="inlineStr">
        <is>
          <t>Women's Short Sleeve Pocket T-Shirt</t>
        </is>
      </c>
      <c r="H27" s="2" t="inlineStr">
        <is>
          <t>013-14-1791</t>
        </is>
      </c>
      <c r="I27" s="2" t="inlineStr">
        <is>
          <t>013-14-1781</t>
        </is>
      </c>
      <c r="J27" s="3" t="inlineStr">
        <is>
          <t>Jersey, 74% Cotton, 26% Recycled Cotton</t>
        </is>
      </c>
      <c r="K27" s="2" t="n">
        <v>18</v>
      </c>
      <c r="L27" s="2" t="inlineStr">
        <is>
          <t>Sae-A</t>
        </is>
      </c>
      <c r="M27" s="4" t="str"/>
      <c r="N27" s="2">
        <f>_xlfn.IMAGE("https://target.scene7.com/is/image/Target/GUEST_beaa2208-c282-4052-9ac9-296a26cf4965?wid=300&amp;hei=300")</f>
        <v/>
      </c>
      <c r="O27" s="5" t="inlineStr">
        <is>
          <t>https://www.target.com/p/-/A-95162693</t>
        </is>
      </c>
      <c r="P27" s="5" t="inlineStr">
        <is>
          <t>https://target.scene7.com/is/image/Target/GUEST_beaa2208-c282-4052-9ac9-296a26cf4965?wid=300&amp;hei=300</t>
        </is>
      </c>
    </row>
    <row r="28" ht="80" customHeight="1">
      <c r="A28" s="2" t="n">
        <v>27</v>
      </c>
      <c r="B28" s="2" t="inlineStr">
        <is>
          <t>2026-10</t>
        </is>
      </c>
      <c r="C28" s="2" t="inlineStr">
        <is>
          <t>Knit Top</t>
        </is>
      </c>
      <c r="D28" s="2" t="inlineStr">
        <is>
          <t>Tops</t>
        </is>
      </c>
      <c r="E28" s="2" t="inlineStr">
        <is>
          <t>Fashion Top</t>
        </is>
      </c>
      <c r="F28" s="2" t="str"/>
      <c r="G28" s="3" t="inlineStr">
        <is>
          <t>Women's Western Lace Trim Pointelle Tank Top</t>
        </is>
      </c>
      <c r="H28" s="2" t="inlineStr">
        <is>
          <t>013-14-0353</t>
        </is>
      </c>
      <c r="I28" s="2" t="str"/>
      <c r="J28" s="3" t="inlineStr">
        <is>
          <t>Variegated Rib, 58% Cotton, 39% Recycled Polyester, 3% Spandex</t>
        </is>
      </c>
      <c r="K28" s="2" t="n">
        <v>12</v>
      </c>
      <c r="L28" s="2" t="inlineStr">
        <is>
          <t>Sae-A</t>
        </is>
      </c>
      <c r="M28" s="4" t="str"/>
      <c r="N28" s="2">
        <f>_xlfn.IMAGE("https://target.scene7.com/is/image/Target/GUEST_677f7115-3c0c-491e-9f44-6422e3a1337b?wid=300&amp;hei=300")</f>
        <v/>
      </c>
      <c r="O28" s="5" t="inlineStr">
        <is>
          <t>https://www.target.com/p/-/A-94876260</t>
        </is>
      </c>
      <c r="P28" s="5" t="inlineStr">
        <is>
          <t>https://target.scene7.com/is/image/Target/GUEST_677f7115-3c0c-491e-9f44-6422e3a1337b?wid=300&amp;hei=300</t>
        </is>
      </c>
    </row>
    <row r="29" ht="80" customHeight="1">
      <c r="A29" s="2" t="n">
        <v>28</v>
      </c>
      <c r="B29" s="2" t="inlineStr">
        <is>
          <t>2026-10</t>
        </is>
      </c>
      <c r="C29" s="2" t="inlineStr">
        <is>
          <t>Knit Top</t>
        </is>
      </c>
      <c r="D29" s="2" t="inlineStr">
        <is>
          <t>Tops</t>
        </is>
      </c>
      <c r="E29" s="2" t="inlineStr">
        <is>
          <t>Fashion Top</t>
        </is>
      </c>
      <c r="F29" s="2" t="str"/>
      <c r="G29" s="3" t="inlineStr">
        <is>
          <t>Women's Short Sleeve Cotton Ribbed Scoop Neck T-Shirt</t>
        </is>
      </c>
      <c r="H29" s="2" t="inlineStr">
        <is>
          <t>013-14-1664</t>
        </is>
      </c>
      <c r="I29" s="2" t="str"/>
      <c r="J29" s="3" t="inlineStr">
        <is>
          <t>1 x 1 Rib, 100% Cotton</t>
        </is>
      </c>
      <c r="K29" s="2" t="n">
        <v>15</v>
      </c>
      <c r="L29" s="7" t="inlineStr">
        <is>
          <t>(미기재)</t>
        </is>
      </c>
      <c r="M29" s="4" t="str"/>
      <c r="N29" s="2">
        <f>_xlfn.IMAGE("https://target.scene7.com/is/image/Target/GUEST_91403dbc-bdaf-4519-8ce3-3d87dfd837a3?wid=300&amp;hei=300")</f>
        <v/>
      </c>
      <c r="O29" s="5" t="inlineStr">
        <is>
          <t>https://www.target.com/p/-/A-95160979</t>
        </is>
      </c>
      <c r="P29" s="5" t="inlineStr">
        <is>
          <t>https://target.scene7.com/is/image/Target/GUEST_91403dbc-bdaf-4519-8ce3-3d87dfd837a3?wid=300&amp;hei=300</t>
        </is>
      </c>
    </row>
    <row r="30" ht="80" customHeight="1">
      <c r="A30" s="2" t="n">
        <v>29</v>
      </c>
      <c r="B30" s="2" t="inlineStr">
        <is>
          <t>2026-10</t>
        </is>
      </c>
      <c r="C30" s="2" t="inlineStr">
        <is>
          <t>Knit Top</t>
        </is>
      </c>
      <c r="D30" s="2" t="inlineStr">
        <is>
          <t>Tops</t>
        </is>
      </c>
      <c r="E30" s="2" t="inlineStr">
        <is>
          <t>Fashion Top</t>
        </is>
      </c>
      <c r="F30" s="2" t="str"/>
      <c r="G30" s="3" t="inlineStr">
        <is>
          <t>Women's Raw Edge Tank Top</t>
        </is>
      </c>
      <c r="H30" s="2" t="inlineStr">
        <is>
          <t>013-14-1400</t>
        </is>
      </c>
      <c r="I30" s="2" t="str"/>
      <c r="J30" s="3" t="inlineStr">
        <is>
          <t>2 x 2 Rib, 96% Cotton, 4% Spandex</t>
        </is>
      </c>
      <c r="K30" s="2" t="n">
        <v>15</v>
      </c>
      <c r="L30" s="2" t="inlineStr">
        <is>
          <t>Sae-A</t>
        </is>
      </c>
      <c r="M30" s="4" t="str"/>
      <c r="N30" s="2">
        <f>_xlfn.IMAGE("https://target.scene7.com/is/image/Target/GUEST_ccbb4717-b901-4e71-9bc9-29a75d0f8851?wid=300&amp;hei=300")</f>
        <v/>
      </c>
      <c r="O30" s="5" t="inlineStr">
        <is>
          <t>https://www.target.com/p/-/A-95119218</t>
        </is>
      </c>
      <c r="P30" s="5" t="inlineStr">
        <is>
          <t>https://target.scene7.com/is/image/Target/GUEST_ccbb4717-b901-4e71-9bc9-29a75d0f8851?wid=300&amp;hei=300</t>
        </is>
      </c>
    </row>
    <row r="31" ht="80" customHeight="1">
      <c r="A31" s="2" t="n">
        <v>30</v>
      </c>
      <c r="B31" s="2" t="inlineStr">
        <is>
          <t>2026-10</t>
        </is>
      </c>
      <c r="C31" s="2" t="inlineStr">
        <is>
          <t>Knit Top</t>
        </is>
      </c>
      <c r="D31" s="2" t="inlineStr">
        <is>
          <t>Tops</t>
        </is>
      </c>
      <c r="E31" s="2" t="inlineStr">
        <is>
          <t>Fashion Top</t>
        </is>
      </c>
      <c r="F31" s="2" t="str"/>
      <c r="G31" s="3" t="inlineStr">
        <is>
          <t>Women's Ruffle Heirloom Tank Top</t>
        </is>
      </c>
      <c r="H31" s="2" t="inlineStr">
        <is>
          <t>013-14-1821</t>
        </is>
      </c>
      <c r="I31" s="2" t="str"/>
      <c r="J31" s="3" t="inlineStr">
        <is>
          <t>Variegated Rib, 50% Cotton, 50% Recycled Polyester</t>
        </is>
      </c>
      <c r="K31" s="2" t="n">
        <v>15</v>
      </c>
      <c r="L31" s="7" t="inlineStr">
        <is>
          <t>(미기재)</t>
        </is>
      </c>
      <c r="M31" s="4" t="str"/>
      <c r="N31" s="2">
        <f>_xlfn.IMAGE("https://target.scene7.com/is/image/Target/GUEST_deca5c74-5e22-4a91-acbb-82b98ea47f5b?wid=300&amp;hei=300")</f>
        <v/>
      </c>
      <c r="O31" s="5" t="inlineStr">
        <is>
          <t>https://www.target.com/p/-/A-95163030</t>
        </is>
      </c>
      <c r="P31" s="5" t="inlineStr">
        <is>
          <t>https://target.scene7.com/is/image/Target/GUEST_deca5c74-5e22-4a91-acbb-82b98ea47f5b?wid=300&amp;hei=300</t>
        </is>
      </c>
    </row>
    <row r="32" ht="80" customHeight="1">
      <c r="A32" s="2" t="n">
        <v>31</v>
      </c>
      <c r="B32" s="2" t="inlineStr">
        <is>
          <t>2026-10</t>
        </is>
      </c>
      <c r="C32" s="2" t="inlineStr">
        <is>
          <t>Knit Top</t>
        </is>
      </c>
      <c r="D32" s="2" t="inlineStr">
        <is>
          <t>Tops</t>
        </is>
      </c>
      <c r="E32" s="2" t="inlineStr">
        <is>
          <t>Fashion Top</t>
        </is>
      </c>
      <c r="F32" s="6" t="inlineStr">
        <is>
          <t>NEW</t>
        </is>
      </c>
      <c r="G32" s="3" t="inlineStr">
        <is>
          <t>Women's Textured Halter Top</t>
        </is>
      </c>
      <c r="H32" s="2" t="inlineStr">
        <is>
          <t>013-14-1055</t>
        </is>
      </c>
      <c r="I32" s="2" t="str"/>
      <c r="J32" s="3" t="inlineStr">
        <is>
          <t>Jacquard Knit, 56% Cotton, 23% Recycled Polyester, 20% Recycled Cotton, 1% Spandex</t>
        </is>
      </c>
      <c r="K32" s="2" t="n">
        <v>18</v>
      </c>
      <c r="L32" s="2" t="inlineStr">
        <is>
          <t>Avalon</t>
        </is>
      </c>
      <c r="M32" s="4" t="str"/>
      <c r="N32" s="2">
        <f>_xlfn.IMAGE("https://target.scene7.com/is/image/Target/GUEST_f9988345-1289-436d-b815-43f23538d4ed?wid=300&amp;hei=300")</f>
        <v/>
      </c>
      <c r="O32" s="5" t="inlineStr">
        <is>
          <t>https://www.target.com/p/-/A-95034735</t>
        </is>
      </c>
      <c r="P32" s="5" t="inlineStr">
        <is>
          <t>https://target.scene7.com/is/image/Target/GUEST_f9988345-1289-436d-b815-43f23538d4ed?wid=300&amp;hei=300</t>
        </is>
      </c>
    </row>
    <row r="33" ht="80" customHeight="1">
      <c r="A33" s="2" t="n">
        <v>32</v>
      </c>
      <c r="B33" s="2" t="inlineStr">
        <is>
          <t>2026-10</t>
        </is>
      </c>
      <c r="C33" s="2" t="inlineStr">
        <is>
          <t>Knit Top</t>
        </is>
      </c>
      <c r="D33" s="2" t="inlineStr">
        <is>
          <t>Tops</t>
        </is>
      </c>
      <c r="E33" s="2" t="inlineStr">
        <is>
          <t>Fashion Top</t>
        </is>
      </c>
      <c r="F33" s="2" t="str"/>
      <c r="G33" s="3" t="inlineStr">
        <is>
          <t>Women's Rib Knit Tank Top</t>
        </is>
      </c>
      <c r="H33" s="2" t="inlineStr">
        <is>
          <t>013-14-0948</t>
        </is>
      </c>
      <c r="I33" s="2" t="str"/>
      <c r="J33" s="3" t="inlineStr">
        <is>
          <t>Variegated Rib, 57% Cotton, 38% Recycled Polyester, 5% Spandex</t>
        </is>
      </c>
      <c r="K33" s="2" t="n">
        <v>15</v>
      </c>
      <c r="L33" s="2" t="inlineStr">
        <is>
          <t>Shin Won</t>
        </is>
      </c>
      <c r="M33" s="4" t="str"/>
      <c r="N33" s="2">
        <f>_xlfn.IMAGE("https://target.scene7.com/is/image/Target/GUEST_27ef38ba-b870-41b1-86a3-dc68640afb70?wid=300&amp;hei=300")</f>
        <v/>
      </c>
      <c r="O33" s="5" t="inlineStr">
        <is>
          <t>https://www.target.com/p/-/A-95020377</t>
        </is>
      </c>
      <c r="P33" s="5" t="inlineStr">
        <is>
          <t>https://target.scene7.com/is/image/Target/GUEST_27ef38ba-b870-41b1-86a3-dc68640afb70?wid=300&amp;hei=300</t>
        </is>
      </c>
    </row>
    <row r="34" ht="80" customHeight="1">
      <c r="A34" s="2" t="n">
        <v>33</v>
      </c>
      <c r="B34" s="2" t="inlineStr">
        <is>
          <t>2026-10</t>
        </is>
      </c>
      <c r="C34" s="2" t="inlineStr">
        <is>
          <t>Knit Top</t>
        </is>
      </c>
      <c r="D34" s="2" t="inlineStr">
        <is>
          <t>Tops</t>
        </is>
      </c>
      <c r="E34" s="2" t="inlineStr">
        <is>
          <t>Fashion Top</t>
        </is>
      </c>
      <c r="F34" s="2" t="str"/>
      <c r="G34" s="3" t="inlineStr">
        <is>
          <t>Women's Textured Rib Tank Top</t>
        </is>
      </c>
      <c r="H34" s="2" t="inlineStr">
        <is>
          <t>013-14-0923</t>
        </is>
      </c>
      <c r="I34" s="2" t="str"/>
      <c r="J34" s="3" t="inlineStr">
        <is>
          <t>Pointelle, Knit, 60% Cotton, 40% Recycled Polyester</t>
        </is>
      </c>
      <c r="K34" s="2" t="n">
        <v>12</v>
      </c>
      <c r="L34" s="2" t="inlineStr">
        <is>
          <t>Sae-A</t>
        </is>
      </c>
      <c r="M34" s="4" t="str"/>
      <c r="N34" s="2">
        <f>_xlfn.IMAGE("https://target.scene7.com/is/image/Target/GUEST_eb9d4bcc-ee2e-4690-8d94-4ab39ed102ea?wid=300&amp;hei=300")</f>
        <v/>
      </c>
      <c r="O34" s="5" t="inlineStr">
        <is>
          <t>https://www.target.com/p/-/A-95020351</t>
        </is>
      </c>
      <c r="P34" s="5" t="inlineStr">
        <is>
          <t>https://target.scene7.com/is/image/Target/GUEST_eb9d4bcc-ee2e-4690-8d94-4ab39ed102ea?wid=300&amp;hei=300</t>
        </is>
      </c>
    </row>
    <row r="35" ht="80" customHeight="1">
      <c r="A35" s="2" t="n">
        <v>34</v>
      </c>
      <c r="B35" s="2" t="inlineStr">
        <is>
          <t>2026-10</t>
        </is>
      </c>
      <c r="C35" s="2" t="inlineStr">
        <is>
          <t>Knit Top</t>
        </is>
      </c>
      <c r="D35" s="2" t="inlineStr">
        <is>
          <t>Tops</t>
        </is>
      </c>
      <c r="E35" s="2" t="inlineStr">
        <is>
          <t>Fashion Top</t>
        </is>
      </c>
      <c r="F35" s="2" t="str"/>
      <c r="G35" s="3" t="inlineStr">
        <is>
          <t>Women's Leopard Printed Boyfriend T-Shirt</t>
        </is>
      </c>
      <c r="H35" s="2" t="inlineStr">
        <is>
          <t>013-14-2359</t>
        </is>
      </c>
      <c r="I35" s="2" t="inlineStr">
        <is>
          <t>013-14-2335</t>
        </is>
      </c>
      <c r="J35" s="3" t="inlineStr">
        <is>
          <t>Jersey, Knit, 100% Cotton</t>
        </is>
      </c>
      <c r="K35" s="2" t="n">
        <v>15</v>
      </c>
      <c r="L35" s="2" t="inlineStr">
        <is>
          <t>Sae-A</t>
        </is>
      </c>
      <c r="M35" s="4" t="str"/>
      <c r="N35" s="2">
        <f>_xlfn.IMAGE("https://target.scene7.com/is/image/Target/GUEST_3a8a41aa-a176-47da-9833-3148566f7cb3?wid=300&amp;hei=300")</f>
        <v/>
      </c>
      <c r="O35" s="5" t="inlineStr">
        <is>
          <t>https://www.target.com/p/-/A-1009846101</t>
        </is>
      </c>
      <c r="P35" s="5" t="inlineStr">
        <is>
          <t>https://target.scene7.com/is/image/Target/GUEST_3a8a41aa-a176-47da-9833-3148566f7cb3?wid=300&amp;hei=300</t>
        </is>
      </c>
    </row>
    <row r="36" ht="80" customHeight="1">
      <c r="A36" s="2" t="n">
        <v>35</v>
      </c>
      <c r="B36" s="2" t="inlineStr">
        <is>
          <t>2026-10</t>
        </is>
      </c>
      <c r="C36" s="2" t="inlineStr">
        <is>
          <t>Knit Top</t>
        </is>
      </c>
      <c r="D36" s="2" t="inlineStr">
        <is>
          <t>Tops</t>
        </is>
      </c>
      <c r="E36" s="2" t="inlineStr">
        <is>
          <t>Fashion Top</t>
        </is>
      </c>
      <c r="F36" s="2" t="str"/>
      <c r="G36" s="3" t="inlineStr">
        <is>
          <t>Women's Beaded Halter Top</t>
        </is>
      </c>
      <c r="H36" s="2" t="inlineStr">
        <is>
          <t>013-14-1035</t>
        </is>
      </c>
      <c r="I36" s="2" t="inlineStr">
        <is>
          <t>013-14-1032</t>
        </is>
      </c>
      <c r="J36" s="3" t="inlineStr">
        <is>
          <t>Jersey, 74% Cotton, 20% Recycled Cotton, 6% Spandex</t>
        </is>
      </c>
      <c r="K36" s="2" t="n">
        <v>15</v>
      </c>
      <c r="L36" s="2" t="inlineStr">
        <is>
          <t>Avalon</t>
        </is>
      </c>
      <c r="M36" s="4" t="str"/>
      <c r="N36" s="2">
        <f>_xlfn.IMAGE("https://target.scene7.com/is/image/Target/GUEST_1fc95814-f42b-4eff-9cd6-3dddb8a095f5?wid=300&amp;hei=300")</f>
        <v/>
      </c>
      <c r="O36" s="5" t="inlineStr">
        <is>
          <t>https://www.target.com/p/-/A-95034699</t>
        </is>
      </c>
      <c r="P36" s="5" t="inlineStr">
        <is>
          <t>https://target.scene7.com/is/image/Target/GUEST_1fc95814-f42b-4eff-9cd6-3dddb8a095f5?wid=300&amp;hei=300</t>
        </is>
      </c>
    </row>
    <row r="37" ht="80" customHeight="1">
      <c r="A37" s="2" t="n">
        <v>36</v>
      </c>
      <c r="B37" s="2" t="inlineStr">
        <is>
          <t>2026-10</t>
        </is>
      </c>
      <c r="C37" s="2" t="inlineStr">
        <is>
          <t>Knit Top</t>
        </is>
      </c>
      <c r="D37" s="2" t="inlineStr">
        <is>
          <t>Tops</t>
        </is>
      </c>
      <c r="E37" s="2" t="inlineStr">
        <is>
          <t>Fashion Top</t>
        </is>
      </c>
      <c r="F37" s="2" t="str"/>
      <c r="G37" s="3" t="inlineStr">
        <is>
          <t>Women's Button-Front Standard Fit Tank Top</t>
        </is>
      </c>
      <c r="H37" s="2" t="inlineStr">
        <is>
          <t>013-13-1309</t>
        </is>
      </c>
      <c r="I37" s="2" t="str"/>
      <c r="J37" s="3" t="inlineStr">
        <is>
          <t>Knit, 60% Cotton, 40% Recycled Polyester</t>
        </is>
      </c>
      <c r="K37" s="2" t="n">
        <v>25</v>
      </c>
      <c r="L37" s="2" t="inlineStr">
        <is>
          <t>Cobalt</t>
        </is>
      </c>
      <c r="M37" s="4" t="str"/>
      <c r="N37" s="2">
        <f>_xlfn.IMAGE("https://target.scene7.com/is/image/Target/GUEST_ebb27023-949b-451a-917d-d7ab32124d50?wid=300&amp;hei=300")</f>
        <v/>
      </c>
      <c r="O37" s="5" t="inlineStr">
        <is>
          <t>https://www.target.com/p/-/A-95098031</t>
        </is>
      </c>
      <c r="P37" s="5" t="inlineStr">
        <is>
          <t>https://target.scene7.com/is/image/Target/GUEST_ebb27023-949b-451a-917d-d7ab32124d50?wid=300&amp;hei=300</t>
        </is>
      </c>
    </row>
    <row r="38" ht="80" customHeight="1">
      <c r="A38" s="2" t="n">
        <v>37</v>
      </c>
      <c r="B38" s="2" t="inlineStr">
        <is>
          <t>2026-10</t>
        </is>
      </c>
      <c r="C38" s="2" t="inlineStr">
        <is>
          <t>Leisure</t>
        </is>
      </c>
      <c r="D38" s="2" t="inlineStr">
        <is>
          <t>Tops</t>
        </is>
      </c>
      <c r="E38" s="2" t="inlineStr">
        <is>
          <t>Leisure</t>
        </is>
      </c>
      <c r="F38" s="2" t="str"/>
      <c r="G38" s="3" t="inlineStr">
        <is>
          <t>Women's Long Sleeve Vintage T-Shirt</t>
        </is>
      </c>
      <c r="H38" s="2" t="inlineStr">
        <is>
          <t>013-14-2143</t>
        </is>
      </c>
      <c r="I38" s="2" t="inlineStr">
        <is>
          <t>013-14-2155</t>
        </is>
      </c>
      <c r="J38" s="3" t="inlineStr">
        <is>
          <t>Jersey, 100% Cotton</t>
        </is>
      </c>
      <c r="K38" s="2" t="n">
        <v>18</v>
      </c>
      <c r="L38" s="2" t="inlineStr">
        <is>
          <t>Apparel Links</t>
        </is>
      </c>
      <c r="M38" s="4" t="str"/>
      <c r="N38" s="2">
        <f>_xlfn.IMAGE("https://target.scene7.com/is/image/Target/GUEST_878d5a13-7310-481b-b348-d066fcd2afac?wid=300&amp;hei=300")</f>
        <v/>
      </c>
      <c r="O38" s="5" t="inlineStr">
        <is>
          <t>https://www.target.com/p/-/A-95240838</t>
        </is>
      </c>
      <c r="P38" s="5" t="inlineStr">
        <is>
          <t>https://target.scene7.com/is/image/Target/GUEST_878d5a13-7310-481b-b348-d066fcd2afac?wid=300&amp;hei=300</t>
        </is>
      </c>
    </row>
    <row r="39" ht="80" customHeight="1">
      <c r="A39" s="2" t="n">
        <v>38</v>
      </c>
      <c r="B39" s="2" t="inlineStr">
        <is>
          <t>2026-10</t>
        </is>
      </c>
      <c r="C39" s="2" t="inlineStr">
        <is>
          <t>Leisure</t>
        </is>
      </c>
      <c r="D39" s="2" t="inlineStr">
        <is>
          <t>Tops</t>
        </is>
      </c>
      <c r="E39" s="2" t="inlineStr">
        <is>
          <t>Leisure</t>
        </is>
      </c>
      <c r="F39" s="2" t="str"/>
      <c r="G39" s="3" t="inlineStr">
        <is>
          <t>Women's Relaxed Fit Pullover Sweatshirt</t>
        </is>
      </c>
      <c r="H39" s="2" t="inlineStr">
        <is>
          <t>013-10-3956</t>
        </is>
      </c>
      <c r="I39" s="2" t="str"/>
      <c r="J39" s="3" t="inlineStr">
        <is>
          <t>French Terry, 75% Cotton, 25% Recycled Polyester</t>
        </is>
      </c>
      <c r="K39" s="2" t="n">
        <v>25</v>
      </c>
      <c r="L39" s="2" t="inlineStr">
        <is>
          <t>Sae-A</t>
        </is>
      </c>
      <c r="M39" s="4" t="str"/>
      <c r="N39" s="2">
        <f>_xlfn.IMAGE("https://target.scene7.com/is/image/Target/GUEST_c48e5008-e6a4-4f64-9616-a27b8a98559c?wid=300&amp;hei=300")</f>
        <v/>
      </c>
      <c r="O39" s="5" t="inlineStr">
        <is>
          <t>https://www.target.com/p/-/A-95219638</t>
        </is>
      </c>
      <c r="P39" s="5" t="inlineStr">
        <is>
          <t>https://target.scene7.com/is/image/Target/GUEST_c48e5008-e6a4-4f64-9616-a27b8a98559c?wid=300&amp;hei=300</t>
        </is>
      </c>
    </row>
    <row r="40" ht="80" customHeight="1">
      <c r="A40" s="2" t="n">
        <v>39</v>
      </c>
      <c r="B40" s="2" t="inlineStr">
        <is>
          <t>2026-10</t>
        </is>
      </c>
      <c r="C40" s="2" t="inlineStr">
        <is>
          <t>Leisure</t>
        </is>
      </c>
      <c r="D40" s="2" t="inlineStr">
        <is>
          <t>Tops</t>
        </is>
      </c>
      <c r="E40" s="2" t="inlineStr">
        <is>
          <t>Leisure</t>
        </is>
      </c>
      <c r="F40" s="2" t="str"/>
      <c r="G40" s="3" t="inlineStr">
        <is>
          <t>Women's Short Sleeve Pullover Sweatshirt</t>
        </is>
      </c>
      <c r="H40" s="2" t="inlineStr">
        <is>
          <t>013-10-4088</t>
        </is>
      </c>
      <c r="I40" s="2" t="str"/>
      <c r="J40" s="3" t="inlineStr">
        <is>
          <t>French Terry, 39% Cotton, 31% Recycled Polyester, 30% Recycled Cotton</t>
        </is>
      </c>
      <c r="K40" s="2" t="n">
        <v>20</v>
      </c>
      <c r="L40" s="2" t="inlineStr">
        <is>
          <t>Avalon</t>
        </is>
      </c>
      <c r="M40" s="4" t="str"/>
      <c r="N40" s="2">
        <f>_xlfn.IMAGE("https://target.scene7.com/is/image/Target/GUEST_f0a58879-58fd-4116-ba65-dfa4d0dcac32?wid=300&amp;hei=300")</f>
        <v/>
      </c>
      <c r="O40" s="5" t="inlineStr">
        <is>
          <t>https://www.target.com/p/-/A-1010399684</t>
        </is>
      </c>
      <c r="P40" s="5" t="inlineStr">
        <is>
          <t>https://target.scene7.com/is/image/Target/GUEST_f0a58879-58fd-4116-ba65-dfa4d0dcac32?wid=300&amp;hei=300</t>
        </is>
      </c>
    </row>
    <row r="41" ht="80" customHeight="1">
      <c r="A41" s="2" t="n">
        <v>40</v>
      </c>
      <c r="B41" s="2" t="inlineStr">
        <is>
          <t>2026-10</t>
        </is>
      </c>
      <c r="C41" s="2" t="inlineStr">
        <is>
          <t>Leisure</t>
        </is>
      </c>
      <c r="D41" s="2" t="inlineStr">
        <is>
          <t>Tops</t>
        </is>
      </c>
      <c r="E41" s="2" t="inlineStr">
        <is>
          <t>Leisure</t>
        </is>
      </c>
      <c r="F41" s="2" t="str"/>
      <c r="G41" s="3" t="inlineStr">
        <is>
          <t>Women's Raglan Sweatshirt</t>
        </is>
      </c>
      <c r="H41" s="2" t="inlineStr">
        <is>
          <t>013-10-3788</t>
        </is>
      </c>
      <c r="I41" s="2" t="str"/>
      <c r="J41" s="3" t="inlineStr">
        <is>
          <t>French Terry, 80% Cotton, 20% Recycled Cotton</t>
        </is>
      </c>
      <c r="K41" s="2" t="n">
        <v>25</v>
      </c>
      <c r="L41" s="2" t="inlineStr">
        <is>
          <t>Avalon</t>
        </is>
      </c>
      <c r="M41" s="4" t="str"/>
      <c r="N41" s="2">
        <f>_xlfn.IMAGE("https://target.scene7.com/is/image/Target/GUEST_2abbe874-2767-4c0d-b6ea-9b60dcd158e1?wid=300&amp;hei=300")</f>
        <v/>
      </c>
      <c r="O41" s="5" t="inlineStr">
        <is>
          <t>https://www.target.com/p/-/A-95211738</t>
        </is>
      </c>
      <c r="P41" s="5" t="inlineStr">
        <is>
          <t>https://target.scene7.com/is/image/Target/GUEST_2abbe874-2767-4c0d-b6ea-9b60dcd158e1?wid=300&amp;hei=300</t>
        </is>
      </c>
    </row>
    <row r="42" ht="80" customHeight="1">
      <c r="A42" s="2" t="n">
        <v>41</v>
      </c>
      <c r="B42" s="2" t="inlineStr">
        <is>
          <t>2026-10</t>
        </is>
      </c>
      <c r="C42" s="2" t="inlineStr">
        <is>
          <t>Leisure</t>
        </is>
      </c>
      <c r="D42" s="2" t="inlineStr">
        <is>
          <t>Tops</t>
        </is>
      </c>
      <c r="E42" s="2" t="inlineStr">
        <is>
          <t>Leisure</t>
        </is>
      </c>
      <c r="F42" s="2" t="str"/>
      <c r="G42" s="3" t="inlineStr">
        <is>
          <t>Women's Short Sleeve Button-Front Scoop Neck T-Shirt</t>
        </is>
      </c>
      <c r="H42" s="2" t="inlineStr">
        <is>
          <t>013-10-3234</t>
        </is>
      </c>
      <c r="I42" s="2" t="str"/>
      <c r="J42" s="3" t="inlineStr">
        <is>
          <t>Jersey, 100% Cotton</t>
        </is>
      </c>
      <c r="K42" s="2" t="n">
        <v>18</v>
      </c>
      <c r="L42" s="2" t="inlineStr">
        <is>
          <t>Sae-A</t>
        </is>
      </c>
      <c r="M42" s="4" t="str"/>
      <c r="N42" s="2">
        <f>_xlfn.IMAGE("https://target.scene7.com/is/image/Target/GUEST_2416f02f-411e-47ff-92c5-b8716448d443?wid=300&amp;hei=300")</f>
        <v/>
      </c>
      <c r="O42" s="5" t="inlineStr">
        <is>
          <t>https://www.target.com/p/-/A-95119606</t>
        </is>
      </c>
      <c r="P42" s="5" t="inlineStr">
        <is>
          <t>https://target.scene7.com/is/image/Target/GUEST_2416f02f-411e-47ff-92c5-b8716448d443?wid=300&amp;hei=300</t>
        </is>
      </c>
    </row>
    <row r="43" ht="80" customHeight="1">
      <c r="A43" s="2" t="n">
        <v>42</v>
      </c>
      <c r="B43" s="2" t="inlineStr">
        <is>
          <t>2026-10</t>
        </is>
      </c>
      <c r="C43" s="2" t="inlineStr">
        <is>
          <t>Leisure</t>
        </is>
      </c>
      <c r="D43" s="2" t="inlineStr">
        <is>
          <t>Tops</t>
        </is>
      </c>
      <c r="E43" s="2" t="inlineStr">
        <is>
          <t>Leisure</t>
        </is>
      </c>
      <c r="F43" s="2" t="str"/>
      <c r="G43" s="3" t="inlineStr">
        <is>
          <t>Women's Polo Striped Top</t>
        </is>
      </c>
      <c r="H43" s="2" t="inlineStr">
        <is>
          <t>013-10-4038</t>
        </is>
      </c>
      <c r="I43" s="2" t="str"/>
      <c r="J43" s="3" t="inlineStr">
        <is>
          <t>Knit, 70% Cotton, 30% Recycled Cotton</t>
        </is>
      </c>
      <c r="K43" s="2" t="n">
        <v>20</v>
      </c>
      <c r="L43" s="2" t="inlineStr">
        <is>
          <t>Lamamba</t>
        </is>
      </c>
      <c r="M43" s="4" t="str"/>
      <c r="N43" s="2">
        <f>_xlfn.IMAGE("https://target.scene7.com/is/image/Target/GUEST_f81d703f-4ee7-4314-bea3-85483eb26d4c?wid=300&amp;hei=300")</f>
        <v/>
      </c>
      <c r="O43" s="5" t="inlineStr">
        <is>
          <t>https://www.target.com/p/-/A-1010399663</t>
        </is>
      </c>
      <c r="P43" s="5" t="inlineStr">
        <is>
          <t>https://target.scene7.com/is/image/Target/GUEST_f81d703f-4ee7-4314-bea3-85483eb26d4c?wid=300&amp;hei=300</t>
        </is>
      </c>
    </row>
    <row r="44" ht="80" customHeight="1">
      <c r="A44" s="2" t="n">
        <v>43</v>
      </c>
      <c r="B44" s="2" t="inlineStr">
        <is>
          <t>2026-10</t>
        </is>
      </c>
      <c r="C44" s="2" t="inlineStr">
        <is>
          <t>Leisure</t>
        </is>
      </c>
      <c r="D44" s="2" t="inlineStr">
        <is>
          <t>Tops</t>
        </is>
      </c>
      <c r="E44" s="2" t="inlineStr">
        <is>
          <t>Leisure</t>
        </is>
      </c>
      <c r="F44" s="2" t="str"/>
      <c r="G44" s="3" t="inlineStr">
        <is>
          <t>Women's Long Sleeve Henley Shirt</t>
        </is>
      </c>
      <c r="H44" s="2" t="inlineStr">
        <is>
          <t>013-10-3435</t>
        </is>
      </c>
      <c r="I44" s="2" t="str"/>
      <c r="J44" s="3" t="inlineStr">
        <is>
          <t>French Terry, 39% Cotton, 31% Recycled Polyester, 30% Recycled Cotton</t>
        </is>
      </c>
      <c r="K44" s="2" t="n">
        <v>25</v>
      </c>
      <c r="L44" s="2" t="inlineStr">
        <is>
          <t>Avalon</t>
        </is>
      </c>
      <c r="M44" s="4" t="str"/>
      <c r="N44" s="2">
        <f>_xlfn.IMAGE("https://target.scene7.com/is/image/Target/GUEST_c2c9be57-4841-41f9-8f86-716ea5a33ad5?wid=300&amp;hei=300")</f>
        <v/>
      </c>
      <c r="O44" s="5" t="inlineStr">
        <is>
          <t>https://www.target.com/p/-/A-95157060</t>
        </is>
      </c>
      <c r="P44" s="5" t="inlineStr">
        <is>
          <t>https://target.scene7.com/is/image/Target/GUEST_c2c9be57-4841-41f9-8f86-716ea5a33ad5?wid=300&amp;hei=300</t>
        </is>
      </c>
    </row>
    <row r="45" ht="80" customHeight="1">
      <c r="A45" s="2" t="n">
        <v>44</v>
      </c>
      <c r="B45" s="2" t="inlineStr">
        <is>
          <t>2026-10</t>
        </is>
      </c>
      <c r="C45" s="2" t="inlineStr">
        <is>
          <t>Leisure</t>
        </is>
      </c>
      <c r="D45" s="2" t="inlineStr">
        <is>
          <t>Tops</t>
        </is>
      </c>
      <c r="E45" s="2" t="inlineStr">
        <is>
          <t>Leisure</t>
        </is>
      </c>
      <c r="F45" s="2" t="str"/>
      <c r="G45" s="3" t="inlineStr">
        <is>
          <t>Women's Banded Raglan Pullover Sweatshirt</t>
        </is>
      </c>
      <c r="H45" s="2" t="inlineStr">
        <is>
          <t>013-10-4028</t>
        </is>
      </c>
      <c r="I45" s="2" t="str"/>
      <c r="J45" s="3" t="inlineStr">
        <is>
          <t>French Terry, 80% Cotton, 20% Recycled Cotton</t>
        </is>
      </c>
      <c r="K45" s="2" t="n">
        <v>25</v>
      </c>
      <c r="L45" s="7" t="inlineStr">
        <is>
          <t>(미기재)</t>
        </is>
      </c>
      <c r="M45" s="4" t="str"/>
      <c r="N45" s="2">
        <f>_xlfn.IMAGE("https://target.scene7.com/is/image/Target/GUEST_95d1bdab-1497-4d6d-8e50-c1550a595349?wid=300&amp;hei=300")</f>
        <v/>
      </c>
      <c r="O45" s="5" t="inlineStr">
        <is>
          <t>https://www.target.com/p/-/A-1010212610</t>
        </is>
      </c>
      <c r="P45" s="5" t="inlineStr">
        <is>
          <t>https://target.scene7.com/is/image/Target/GUEST_95d1bdab-1497-4d6d-8e50-c1550a595349?wid=300&amp;hei=300</t>
        </is>
      </c>
    </row>
    <row r="46" ht="80" customHeight="1">
      <c r="A46" s="2" t="n">
        <v>45</v>
      </c>
      <c r="B46" s="2" t="inlineStr">
        <is>
          <t>2026-10</t>
        </is>
      </c>
      <c r="C46" s="2" t="inlineStr">
        <is>
          <t>Leisure</t>
        </is>
      </c>
      <c r="D46" s="2" t="inlineStr">
        <is>
          <t>Tops</t>
        </is>
      </c>
      <c r="E46" s="2" t="inlineStr">
        <is>
          <t>Leisure</t>
        </is>
      </c>
      <c r="F46" s="2" t="str"/>
      <c r="G46" s="3" t="inlineStr">
        <is>
          <t>Women's Long Sleeve Waffle Scoop Neck T-Shirt</t>
        </is>
      </c>
      <c r="H46" s="2" t="inlineStr">
        <is>
          <t>013-10-3286</t>
        </is>
      </c>
      <c r="I46" s="2" t="str"/>
      <c r="J46" s="3" t="inlineStr">
        <is>
          <t>Waffle, 60% Cotton, 40% Modal</t>
        </is>
      </c>
      <c r="K46" s="2" t="n">
        <v>25</v>
      </c>
      <c r="L46" s="2" t="inlineStr">
        <is>
          <t>Sae-A</t>
        </is>
      </c>
      <c r="M46" s="4" t="str"/>
      <c r="N46" s="2">
        <f>_xlfn.IMAGE("https://target.scene7.com/is/image/Target/GUEST_43804d05-75c0-4ff3-a464-173a0e636e83?wid=300&amp;hei=300")</f>
        <v/>
      </c>
      <c r="O46" s="5" t="inlineStr">
        <is>
          <t>https://www.target.com/p/-/A-95124899</t>
        </is>
      </c>
      <c r="P46" s="5" t="inlineStr">
        <is>
          <t>https://target.scene7.com/is/image/Target/GUEST_43804d05-75c0-4ff3-a464-173a0e636e83?wid=300&amp;hei=300</t>
        </is>
      </c>
    </row>
    <row r="47" ht="80" customHeight="1">
      <c r="A47" s="2" t="n">
        <v>46</v>
      </c>
      <c r="B47" s="2" t="inlineStr">
        <is>
          <t>2026-10</t>
        </is>
      </c>
      <c r="C47" s="2" t="inlineStr">
        <is>
          <t>Leisure</t>
        </is>
      </c>
      <c r="D47" s="2" t="inlineStr">
        <is>
          <t>Tops</t>
        </is>
      </c>
      <c r="E47" s="2" t="inlineStr">
        <is>
          <t>Leisure</t>
        </is>
      </c>
      <c r="F47" s="2" t="str"/>
      <c r="G47" s="3" t="inlineStr">
        <is>
          <t>Women's Textured Knit Tank Top</t>
        </is>
      </c>
      <c r="H47" s="2" t="inlineStr">
        <is>
          <t>013-10-3100</t>
        </is>
      </c>
      <c r="I47" s="2" t="str"/>
      <c r="J47" s="3" t="inlineStr">
        <is>
          <t>Crepe, Jersey, 100% Cotton</t>
        </is>
      </c>
      <c r="K47" s="2" t="n">
        <v>20</v>
      </c>
      <c r="L47" s="2" t="inlineStr">
        <is>
          <t>Apparel Links</t>
        </is>
      </c>
      <c r="M47" s="4" t="str"/>
      <c r="N47" s="2">
        <f>_xlfn.IMAGE("https://target.scene7.com/is/image/Target/GUEST_109a96ff-684f-4432-8cce-e1dd69b03e7b?wid=300&amp;hei=300")</f>
        <v/>
      </c>
      <c r="O47" s="5" t="inlineStr">
        <is>
          <t>https://www.target.com/p/-/A-95034686</t>
        </is>
      </c>
      <c r="P47" s="5" t="inlineStr">
        <is>
          <t>https://target.scene7.com/is/image/Target/GUEST_109a96ff-684f-4432-8cce-e1dd69b03e7b?wid=300&amp;hei=300</t>
        </is>
      </c>
    </row>
    <row r="48" ht="80" customHeight="1">
      <c r="A48" s="2" t="n">
        <v>47</v>
      </c>
      <c r="B48" s="2" t="inlineStr">
        <is>
          <t>2026-10</t>
        </is>
      </c>
      <c r="C48" s="2" t="inlineStr">
        <is>
          <t>Leisure</t>
        </is>
      </c>
      <c r="D48" s="2" t="inlineStr">
        <is>
          <t>Tops</t>
        </is>
      </c>
      <c r="E48" s="2" t="inlineStr">
        <is>
          <t>Leisure</t>
        </is>
      </c>
      <c r="F48" s="2" t="str"/>
      <c r="G48" s="3" t="inlineStr">
        <is>
          <t>Women's Knit Muscle Tank Top</t>
        </is>
      </c>
      <c r="H48" s="2" t="inlineStr">
        <is>
          <t>013-10-3023</t>
        </is>
      </c>
      <c r="I48" s="2" t="str"/>
      <c r="J48" s="3" t="inlineStr">
        <is>
          <t>Jersey, Knit, 100% Cotton</t>
        </is>
      </c>
      <c r="K48" s="2" t="n">
        <v>20</v>
      </c>
      <c r="L48" s="2" t="inlineStr">
        <is>
          <t>Sae-A</t>
        </is>
      </c>
      <c r="M48" s="4" t="str"/>
      <c r="N48" s="2">
        <f>_xlfn.IMAGE("https://target.scene7.com/is/image/Target/GUEST_a9448cbd-8e47-45dc-ba94-12dbf83d9550?wid=300&amp;hei=300")</f>
        <v/>
      </c>
      <c r="O48" s="5" t="inlineStr">
        <is>
          <t>https://www.target.com/p/-/A-95026991</t>
        </is>
      </c>
      <c r="P48" s="5" t="inlineStr">
        <is>
          <t>https://target.scene7.com/is/image/Target/GUEST_a9448cbd-8e47-45dc-ba94-12dbf83d9550?wid=300&amp;hei=300</t>
        </is>
      </c>
    </row>
    <row r="49" ht="80" customHeight="1">
      <c r="A49" s="2" t="n">
        <v>48</v>
      </c>
      <c r="B49" s="2" t="inlineStr">
        <is>
          <t>2026-10</t>
        </is>
      </c>
      <c r="C49" s="2" t="inlineStr">
        <is>
          <t>Leisure</t>
        </is>
      </c>
      <c r="D49" s="2" t="inlineStr">
        <is>
          <t>Tops</t>
        </is>
      </c>
      <c r="E49" s="2" t="inlineStr">
        <is>
          <t>Leisure</t>
        </is>
      </c>
      <c r="F49" s="2" t="str"/>
      <c r="G49" s="3" t="inlineStr">
        <is>
          <t>Women's Long Sleeve Boat Neck T-Shirt</t>
        </is>
      </c>
      <c r="H49" s="2" t="inlineStr">
        <is>
          <t>013-10-2867</t>
        </is>
      </c>
      <c r="I49" s="2" t="str"/>
      <c r="J49" s="3" t="inlineStr">
        <is>
          <t>Jersey, 100% Cotton</t>
        </is>
      </c>
      <c r="K49" s="2" t="n">
        <v>25</v>
      </c>
      <c r="L49" s="2" t="inlineStr">
        <is>
          <t>Sae-A</t>
        </is>
      </c>
      <c r="M49" s="4" t="str"/>
      <c r="N49" s="2">
        <f>_xlfn.IMAGE("https://target.scene7.com/is/image/Target/GUEST_553ca67b-0e68-42df-87eb-dc43982ae5b8?wid=300&amp;hei=300")</f>
        <v/>
      </c>
      <c r="O49" s="5" t="inlineStr">
        <is>
          <t>https://www.target.com/p/-/A-94986709</t>
        </is>
      </c>
      <c r="P49" s="5" t="inlineStr">
        <is>
          <t>https://target.scene7.com/is/image/Target/GUEST_553ca67b-0e68-42df-87eb-dc43982ae5b8?wid=300&amp;hei=300</t>
        </is>
      </c>
    </row>
    <row r="50" ht="80" customHeight="1">
      <c r="A50" s="2" t="n">
        <v>49</v>
      </c>
      <c r="B50" s="2" t="inlineStr">
        <is>
          <t>2026-10</t>
        </is>
      </c>
      <c r="C50" s="2" t="inlineStr">
        <is>
          <t>Leisure</t>
        </is>
      </c>
      <c r="D50" s="2" t="inlineStr">
        <is>
          <t>Tops</t>
        </is>
      </c>
      <c r="E50" s="2" t="inlineStr">
        <is>
          <t>Leisure</t>
        </is>
      </c>
      <c r="F50" s="6" t="inlineStr">
        <is>
          <t>NEW</t>
        </is>
      </c>
      <c r="G50" s="3" t="inlineStr">
        <is>
          <t>Women's Vintage Raglan Sleeve Baseball Shirt</t>
        </is>
      </c>
      <c r="H50" s="2" t="inlineStr">
        <is>
          <t>013-14-2738</t>
        </is>
      </c>
      <c r="I50" s="2" t="str"/>
      <c r="J50" s="3" t="inlineStr">
        <is>
          <t>Jersey, 100% Cotton</t>
        </is>
      </c>
      <c r="K50" s="2" t="n">
        <v>18</v>
      </c>
      <c r="L50" s="7" t="inlineStr">
        <is>
          <t>(미기재)</t>
        </is>
      </c>
      <c r="M50" s="4" t="str"/>
      <c r="N50" s="2">
        <f>_xlfn.IMAGE("https://target.scene7.com/is/image/Target/GUEST_c984e729-bf90-4410-9309-ed8159943cbd?wid=300&amp;hei=300")</f>
        <v/>
      </c>
      <c r="O50" s="5" t="inlineStr">
        <is>
          <t>https://www.target.com/p/-/A-1011547356</t>
        </is>
      </c>
      <c r="P50" s="5" t="inlineStr">
        <is>
          <t>https://target.scene7.com/is/image/Target/GUEST_c984e729-bf90-4410-9309-ed8159943cbd?wid=300&amp;hei=300</t>
        </is>
      </c>
    </row>
    <row r="51" ht="80" customHeight="1">
      <c r="A51" s="2" t="n">
        <v>50</v>
      </c>
      <c r="B51" s="2" t="inlineStr">
        <is>
          <t>2026-10</t>
        </is>
      </c>
      <c r="C51" s="2" t="inlineStr">
        <is>
          <t>Leisure</t>
        </is>
      </c>
      <c r="D51" s="2" t="inlineStr">
        <is>
          <t>Tops</t>
        </is>
      </c>
      <c r="E51" s="2" t="inlineStr">
        <is>
          <t>Leisure</t>
        </is>
      </c>
      <c r="F51" s="6" t="inlineStr">
        <is>
          <t>NEW</t>
        </is>
      </c>
      <c r="G51" s="3" t="inlineStr">
        <is>
          <t>Women's V-Neck Sweatshirt</t>
        </is>
      </c>
      <c r="H51" s="2" t="inlineStr">
        <is>
          <t>013-10-4605</t>
        </is>
      </c>
      <c r="I51" s="2" t="str"/>
      <c r="J51" s="3" t="inlineStr">
        <is>
          <t>French Terry, 50% Cotton, 30% Recycled Cotton, 20% Recycled Polyester</t>
        </is>
      </c>
      <c r="K51" s="2" t="n">
        <v>30</v>
      </c>
      <c r="L51" s="7" t="inlineStr">
        <is>
          <t>(미기재)</t>
        </is>
      </c>
      <c r="M51" s="4" t="str"/>
      <c r="N51" s="2">
        <f>_xlfn.IMAGE("https://target.scene7.com/is/image/Target/GUEST_c0765ba3-bbd1-4db6-b443-962f03411d8b?wid=300&amp;hei=300")</f>
        <v/>
      </c>
      <c r="O51" s="5" t="inlineStr">
        <is>
          <t>https://www.target.com/p/-/A-1011547391</t>
        </is>
      </c>
      <c r="P51" s="5" t="inlineStr">
        <is>
          <t>https://target.scene7.com/is/image/Target/GUEST_c0765ba3-bbd1-4db6-b443-962f03411d8b?wid=300&amp;hei=300</t>
        </is>
      </c>
    </row>
    <row r="52" ht="80" customHeight="1">
      <c r="A52" s="2" t="n">
        <v>51</v>
      </c>
      <c r="B52" s="2" t="inlineStr">
        <is>
          <t>2026-10</t>
        </is>
      </c>
      <c r="C52" s="2" t="inlineStr">
        <is>
          <t>Leisure</t>
        </is>
      </c>
      <c r="D52" s="2" t="inlineStr">
        <is>
          <t>Tops</t>
        </is>
      </c>
      <c r="E52" s="2" t="inlineStr">
        <is>
          <t>Leisure</t>
        </is>
      </c>
      <c r="F52" s="6" t="inlineStr">
        <is>
          <t>NEW</t>
        </is>
      </c>
      <c r="G52" s="3" t="inlineStr">
        <is>
          <t>Women's Vintage 3/4 Sleeve Sweatshirt</t>
        </is>
      </c>
      <c r="H52" s="2" t="inlineStr">
        <is>
          <t>013-10-4655</t>
        </is>
      </c>
      <c r="I52" s="2" t="str"/>
      <c r="J52" s="3" t="inlineStr">
        <is>
          <t>Fleece, 53% Cotton, 30% Recycled Cotton, 17% Recycled Polyester</t>
        </is>
      </c>
      <c r="K52" s="2" t="n">
        <v>25</v>
      </c>
      <c r="L52" s="7" t="inlineStr">
        <is>
          <t>(미기재)</t>
        </is>
      </c>
      <c r="M52" s="4" t="str"/>
      <c r="N52" s="2">
        <f>_xlfn.IMAGE("https://target.scene7.com/is/image/Target/GUEST_b5087c03-b71a-43d5-b298-d5aea067dc34?wid=300&amp;hei=300")</f>
        <v/>
      </c>
      <c r="O52" s="5" t="inlineStr">
        <is>
          <t>https://www.target.com/p/-/A-1011547601</t>
        </is>
      </c>
      <c r="P52" s="5" t="inlineStr">
        <is>
          <t>https://target.scene7.com/is/image/Target/GUEST_b5087c03-b71a-43d5-b298-d5aea067dc34?wid=300&amp;hei=300</t>
        </is>
      </c>
    </row>
    <row r="53" ht="80" customHeight="1">
      <c r="A53" s="2" t="n">
        <v>52</v>
      </c>
      <c r="B53" s="2" t="inlineStr">
        <is>
          <t>2026-10</t>
        </is>
      </c>
      <c r="C53" s="2" t="inlineStr">
        <is>
          <t>Leisure</t>
        </is>
      </c>
      <c r="D53" s="2" t="inlineStr">
        <is>
          <t>Bottoms</t>
        </is>
      </c>
      <c r="E53" s="2" t="inlineStr">
        <is>
          <t>Leisure</t>
        </is>
      </c>
      <c r="F53" s="2" t="str"/>
      <c r="G53" s="3" t="inlineStr">
        <is>
          <t>Women's Mid-Rise Barrel Leg Sweatpant</t>
        </is>
      </c>
      <c r="H53" s="2" t="inlineStr">
        <is>
          <t>013-10-3895</t>
        </is>
      </c>
      <c r="I53" s="2" t="str"/>
      <c r="J53" s="3" t="inlineStr">
        <is>
          <t>Fleece, 75% Cotton, 25% Recycled Polyester</t>
        </is>
      </c>
      <c r="K53" s="2" t="n">
        <v>30</v>
      </c>
      <c r="L53" s="2" t="inlineStr">
        <is>
          <t>Sae-A</t>
        </is>
      </c>
      <c r="M53" s="4" t="str"/>
      <c r="N53" s="2">
        <f>_xlfn.IMAGE("https://target.scene7.com/is/image/Target/GUEST_b0125331-020c-4cf7-a7a1-48bdc621af20?wid=300&amp;hei=300")</f>
        <v/>
      </c>
      <c r="O53" s="5" t="inlineStr">
        <is>
          <t>https://www.target.com/p/-/A-95219510</t>
        </is>
      </c>
      <c r="P53" s="5" t="inlineStr">
        <is>
          <t>https://target.scene7.com/is/image/Target/GUEST_b0125331-020c-4cf7-a7a1-48bdc621af20?wid=300&amp;hei=300</t>
        </is>
      </c>
    </row>
    <row r="54" ht="80" customHeight="1">
      <c r="A54" s="2" t="n">
        <v>53</v>
      </c>
      <c r="B54" s="2" t="inlineStr">
        <is>
          <t>2026-10</t>
        </is>
      </c>
      <c r="C54" s="2" t="inlineStr">
        <is>
          <t>Leisure</t>
        </is>
      </c>
      <c r="D54" s="2" t="inlineStr">
        <is>
          <t>Bottoms</t>
        </is>
      </c>
      <c r="E54" s="2" t="inlineStr">
        <is>
          <t>Leisure</t>
        </is>
      </c>
      <c r="F54" s="6" t="inlineStr">
        <is>
          <t>NEW</t>
        </is>
      </c>
      <c r="G54" s="3" t="inlineStr">
        <is>
          <t>Women's Mid-Rise Easy Fit Track Sweatpants</t>
        </is>
      </c>
      <c r="H54" s="2" t="inlineStr">
        <is>
          <t>013-10-4399</t>
        </is>
      </c>
      <c r="I54" s="2" t="str"/>
      <c r="J54" s="3" t="inlineStr">
        <is>
          <t>French Terry, 60% Cotton, 10% Recycled Cotton, 30% Recycled Polyester</t>
        </is>
      </c>
      <c r="K54" s="2" t="n">
        <v>30</v>
      </c>
      <c r="L54" s="7" t="inlineStr">
        <is>
          <t>(미기재)</t>
        </is>
      </c>
      <c r="M54" s="4" t="str"/>
      <c r="N54" s="2">
        <f>_xlfn.IMAGE("https://target.scene7.com/is/image/Target/GUEST_131ec2ba-3858-4ed0-b4d9-89d98cab9f9b?wid=300&amp;hei=300")</f>
        <v/>
      </c>
      <c r="O54" s="5" t="inlineStr">
        <is>
          <t>https://www.target.com/p/-/A-1011264018</t>
        </is>
      </c>
      <c r="P54" s="5" t="inlineStr">
        <is>
          <t>https://target.scene7.com/is/image/Target/GUEST_131ec2ba-3858-4ed0-b4d9-89d98cab9f9b?wid=300&amp;hei=300</t>
        </is>
      </c>
    </row>
    <row r="55" ht="80" customHeight="1">
      <c r="A55" s="2" t="n">
        <v>54</v>
      </c>
      <c r="B55" s="2" t="inlineStr">
        <is>
          <t>2026-10</t>
        </is>
      </c>
      <c r="C55" s="2" t="inlineStr">
        <is>
          <t>Leisure</t>
        </is>
      </c>
      <c r="D55" s="2" t="inlineStr">
        <is>
          <t>Bottoms</t>
        </is>
      </c>
      <c r="E55" s="2" t="inlineStr">
        <is>
          <t>Leisure</t>
        </is>
      </c>
      <c r="F55" s="2" t="str"/>
      <c r="G55" s="3" t="inlineStr">
        <is>
          <t>Women's Balloon Jogger Pants</t>
        </is>
      </c>
      <c r="H55" s="2" t="inlineStr">
        <is>
          <t>013-10-4098</t>
        </is>
      </c>
      <c r="I55" s="2" t="str"/>
      <c r="J55" s="3" t="inlineStr">
        <is>
          <t>French Terry, 39% Cotton, 31% Recycled Cotton, 30% Recycled Polyester</t>
        </is>
      </c>
      <c r="K55" s="2" t="n">
        <v>30</v>
      </c>
      <c r="L55" s="2" t="inlineStr">
        <is>
          <t>Avalon</t>
        </is>
      </c>
      <c r="M55" s="4" t="str"/>
      <c r="N55" s="2">
        <f>_xlfn.IMAGE("https://target.scene7.com/is/image/Target/GUEST_179e979b-11ee-47d5-922d-3be9d034ccad?wid=300&amp;hei=300")</f>
        <v/>
      </c>
      <c r="O55" s="5" t="inlineStr">
        <is>
          <t>https://www.target.com/p/-/A-95294026</t>
        </is>
      </c>
      <c r="P55" s="5" t="inlineStr">
        <is>
          <t>https://target.scene7.com/is/image/Target/GUEST_179e979b-11ee-47d5-922d-3be9d034ccad?wid=300&amp;hei=300</t>
        </is>
      </c>
    </row>
    <row r="56" ht="80" customHeight="1">
      <c r="A56" s="2" t="n">
        <v>55</v>
      </c>
      <c r="B56" s="2" t="inlineStr">
        <is>
          <t>2026-10</t>
        </is>
      </c>
      <c r="C56" s="2" t="inlineStr">
        <is>
          <t>Leisure</t>
        </is>
      </c>
      <c r="D56" s="2" t="inlineStr">
        <is>
          <t>Bottoms</t>
        </is>
      </c>
      <c r="E56" s="2" t="inlineStr">
        <is>
          <t>Leisure</t>
        </is>
      </c>
      <c r="F56" s="2" t="str"/>
      <c r="G56" s="3" t="inlineStr">
        <is>
          <t>Women's Mid-Rise Ribbed Straight Full Leg Pull-On Pants</t>
        </is>
      </c>
      <c r="H56" s="2" t="inlineStr">
        <is>
          <t>013-10-3805</t>
        </is>
      </c>
      <c r="I56" s="2" t="str"/>
      <c r="J56" s="3" t="inlineStr">
        <is>
          <t>2 x 2 Rib, 96% Cotton, 4% Spandex</t>
        </is>
      </c>
      <c r="K56" s="2" t="n">
        <v>30</v>
      </c>
      <c r="L56" s="2" t="inlineStr">
        <is>
          <t>Sae-A</t>
        </is>
      </c>
      <c r="M56" s="4" t="str"/>
      <c r="N56" s="2">
        <f>_xlfn.IMAGE("https://target.scene7.com/is/image/Target/GUEST_11fea020-5bad-4815-9b22-86c0a73c5b2f?wid=300&amp;hei=300")</f>
        <v/>
      </c>
      <c r="O56" s="5" t="inlineStr">
        <is>
          <t>https://www.target.com/p/-/A-95211757</t>
        </is>
      </c>
      <c r="P56" s="5" t="inlineStr">
        <is>
          <t>https://target.scene7.com/is/image/Target/GUEST_11fea020-5bad-4815-9b22-86c0a73c5b2f?wid=300&amp;hei=300</t>
        </is>
      </c>
    </row>
    <row r="57" ht="80" customHeight="1">
      <c r="A57" s="2" t="n">
        <v>56</v>
      </c>
      <c r="B57" s="2" t="inlineStr">
        <is>
          <t>2026-10</t>
        </is>
      </c>
      <c r="C57" s="2" t="inlineStr">
        <is>
          <t>Leisure</t>
        </is>
      </c>
      <c r="D57" s="2" t="inlineStr">
        <is>
          <t>Bottoms</t>
        </is>
      </c>
      <c r="E57" s="2" t="inlineStr">
        <is>
          <t>Leisure</t>
        </is>
      </c>
      <c r="F57" s="6" t="inlineStr">
        <is>
          <t>NEW</t>
        </is>
      </c>
      <c r="G57" s="3" t="inlineStr">
        <is>
          <t>Women's Wide Leg Sweatpants</t>
        </is>
      </c>
      <c r="H57" s="2" t="inlineStr">
        <is>
          <t>013-13-2540</t>
        </is>
      </c>
      <c r="I57" s="2" t="str"/>
      <c r="J57" s="3" t="inlineStr">
        <is>
          <t>Jersey, 100% Cotton</t>
        </is>
      </c>
      <c r="K57" s="2" t="n">
        <v>30</v>
      </c>
      <c r="L57" s="7" t="inlineStr">
        <is>
          <t>(미기재)</t>
        </is>
      </c>
      <c r="M57" s="4" t="str"/>
      <c r="N57" s="2">
        <f>_xlfn.IMAGE("https://target.scene7.com/is/image/Target/GUEST_baa6983a-5430-480d-a2ed-f1d1f17fdb79?wid=300&amp;hei=300")</f>
        <v/>
      </c>
      <c r="O57" s="5" t="inlineStr">
        <is>
          <t>https://www.target.com/p/-/A-1010725963</t>
        </is>
      </c>
      <c r="P57" s="5" t="inlineStr">
        <is>
          <t>https://target.scene7.com/is/image/Target/GUEST_baa6983a-5430-480d-a2ed-f1d1f17fdb79?wid=300&amp;hei=300</t>
        </is>
      </c>
    </row>
    <row r="58" ht="80" customHeight="1">
      <c r="A58" s="2" t="n">
        <v>57</v>
      </c>
      <c r="B58" s="2" t="inlineStr">
        <is>
          <t>2026-10</t>
        </is>
      </c>
      <c r="C58" s="2" t="inlineStr">
        <is>
          <t>Leisure</t>
        </is>
      </c>
      <c r="D58" s="2" t="inlineStr">
        <is>
          <t>Bottoms</t>
        </is>
      </c>
      <c r="E58" s="2" t="inlineStr">
        <is>
          <t>Leisure</t>
        </is>
      </c>
      <c r="F58" s="2" t="str"/>
      <c r="G58" s="3" t="inlineStr">
        <is>
          <t>Women's Mid-Rise Balloon Ankle Pull-On Pants</t>
        </is>
      </c>
      <c r="H58" s="2" t="inlineStr">
        <is>
          <t>013-10-3274</t>
        </is>
      </c>
      <c r="I58" s="2" t="str"/>
      <c r="J58" s="3" t="inlineStr">
        <is>
          <t>Jersey, 100% Cotton</t>
        </is>
      </c>
      <c r="K58" s="2" t="n">
        <v>25</v>
      </c>
      <c r="L58" s="2" t="inlineStr">
        <is>
          <t>Sae-A</t>
        </is>
      </c>
      <c r="M58" s="4" t="str"/>
      <c r="N58" s="2">
        <f>_xlfn.IMAGE("https://target.scene7.com/is/image/Target/GUEST_64e2cafe-18ed-406b-838b-98b59067addc?wid=300&amp;hei=300")</f>
        <v/>
      </c>
      <c r="O58" s="5" t="inlineStr">
        <is>
          <t>https://www.target.com/p/-/A-95119674</t>
        </is>
      </c>
      <c r="P58" s="5" t="inlineStr">
        <is>
          <t>https://target.scene7.com/is/image/Target/GUEST_64e2cafe-18ed-406b-838b-98b59067addc?wid=300&amp;hei=300</t>
        </is>
      </c>
    </row>
    <row r="59" ht="80" customHeight="1">
      <c r="A59" s="2" t="n">
        <v>58</v>
      </c>
      <c r="B59" s="2" t="inlineStr">
        <is>
          <t>2026-10</t>
        </is>
      </c>
      <c r="C59" s="2" t="inlineStr">
        <is>
          <t>Leisure</t>
        </is>
      </c>
      <c r="D59" s="2" t="inlineStr">
        <is>
          <t>Bottoms</t>
        </is>
      </c>
      <c r="E59" s="2" t="inlineStr">
        <is>
          <t>Leisure</t>
        </is>
      </c>
      <c r="F59" s="2" t="str"/>
      <c r="G59" s="3" t="inlineStr">
        <is>
          <t>Women's Low-Rise Waffle Pull-On Shorts</t>
        </is>
      </c>
      <c r="H59" s="2" t="inlineStr">
        <is>
          <t>013-10-3316</t>
        </is>
      </c>
      <c r="I59" s="2" t="str"/>
      <c r="J59" s="3" t="inlineStr">
        <is>
          <t>Jersey, Waffle, 60% Cotton, 40% Modal</t>
        </is>
      </c>
      <c r="K59" s="2" t="n">
        <v>20</v>
      </c>
      <c r="L59" s="2" t="inlineStr">
        <is>
          <t>Sae-A</t>
        </is>
      </c>
      <c r="M59" s="4" t="str"/>
      <c r="N59" s="2">
        <f>_xlfn.IMAGE("https://target.scene7.com/is/image/Target/GUEST_6be35640-47bc-481f-9554-d432aa1af055?wid=300&amp;hei=300")</f>
        <v/>
      </c>
      <c r="O59" s="5" t="inlineStr">
        <is>
          <t>https://www.target.com/p/-/A-95124929</t>
        </is>
      </c>
      <c r="P59" s="5" t="inlineStr">
        <is>
          <t>https://target.scene7.com/is/image/Target/GUEST_6be35640-47bc-481f-9554-d432aa1af055?wid=300&amp;hei=300</t>
        </is>
      </c>
    </row>
    <row r="60" ht="80" customHeight="1">
      <c r="A60" s="2" t="n">
        <v>59</v>
      </c>
      <c r="B60" s="2" t="inlineStr">
        <is>
          <t>2026-10</t>
        </is>
      </c>
      <c r="C60" s="2" t="inlineStr">
        <is>
          <t>Leisure</t>
        </is>
      </c>
      <c r="D60" s="2" t="inlineStr">
        <is>
          <t>Bottoms</t>
        </is>
      </c>
      <c r="E60" s="2" t="inlineStr">
        <is>
          <t>Leisure</t>
        </is>
      </c>
      <c r="F60" s="2" t="str"/>
      <c r="G60" s="3" t="inlineStr">
        <is>
          <t>Women's Mid-Rise Rib Knit Full Pull-On Pants</t>
        </is>
      </c>
      <c r="H60" s="2" t="inlineStr">
        <is>
          <t>013-10-2981</t>
        </is>
      </c>
      <c r="I60" s="2" t="inlineStr">
        <is>
          <t>013-10-2989</t>
        </is>
      </c>
      <c r="J60" s="3" t="inlineStr">
        <is>
          <t>Variegated Rib, 57% Cotton, 38% Recycled Polyester, 5% Spandex</t>
        </is>
      </c>
      <c r="K60" s="2" t="n">
        <v>30</v>
      </c>
      <c r="L60" s="2" t="inlineStr">
        <is>
          <t>Shin Won</t>
        </is>
      </c>
      <c r="M60" s="4" t="str"/>
      <c r="N60" s="2">
        <f>_xlfn.IMAGE("https://target.scene7.com/is/image/Target/GUEST_8db57d66-1e3a-4483-b70e-15aa3098769a?wid=300&amp;hei=300")</f>
        <v/>
      </c>
      <c r="O60" s="5" t="inlineStr">
        <is>
          <t>https://www.target.com/p/-/A-95020429</t>
        </is>
      </c>
      <c r="P60" s="5" t="inlineStr">
        <is>
          <t>https://target.scene7.com/is/image/Target/GUEST_8db57d66-1e3a-4483-b70e-15aa3098769a?wid=300&amp;hei=300</t>
        </is>
      </c>
    </row>
    <row r="61" ht="80" customHeight="1">
      <c r="A61" s="2" t="n">
        <v>60</v>
      </c>
      <c r="B61" s="2" t="inlineStr">
        <is>
          <t>2026-10</t>
        </is>
      </c>
      <c r="C61" s="2" t="inlineStr">
        <is>
          <t>Leisure</t>
        </is>
      </c>
      <c r="D61" s="2" t="inlineStr">
        <is>
          <t>Bottoms</t>
        </is>
      </c>
      <c r="E61" s="2" t="inlineStr">
        <is>
          <t>Leisure</t>
        </is>
      </c>
      <c r="F61" s="2" t="str"/>
      <c r="G61" s="3" t="inlineStr">
        <is>
          <t>Women's Mid-Rise Textured Knit Pull-On Shorts</t>
        </is>
      </c>
      <c r="H61" s="2" t="inlineStr">
        <is>
          <t>013-10-3053</t>
        </is>
      </c>
      <c r="I61" s="2" t="str"/>
      <c r="J61" s="3" t="inlineStr">
        <is>
          <t>Crepe, Jersey, 100% Cotton</t>
        </is>
      </c>
      <c r="K61" s="2" t="n">
        <v>20</v>
      </c>
      <c r="L61" s="2" t="inlineStr">
        <is>
          <t>Apparel Links</t>
        </is>
      </c>
      <c r="M61" s="4" t="str"/>
      <c r="N61" s="2">
        <f>_xlfn.IMAGE("https://target.scene7.com/is/image/Target/GUEST_6f07183f-93f6-41a0-8cba-a19cdf3f26e9?wid=300&amp;hei=300")</f>
        <v/>
      </c>
      <c r="O61" s="5" t="inlineStr">
        <is>
          <t>https://www.target.com/p/-/A-95034641</t>
        </is>
      </c>
      <c r="P61" s="5" t="inlineStr">
        <is>
          <t>https://target.scene7.com/is/image/Target/GUEST_6f07183f-93f6-41a0-8cba-a19cdf3f26e9?wid=300&amp;hei=300</t>
        </is>
      </c>
    </row>
    <row r="62" ht="80" customHeight="1">
      <c r="A62" s="2" t="n">
        <v>61</v>
      </c>
      <c r="B62" s="2" t="inlineStr">
        <is>
          <t>2026-10</t>
        </is>
      </c>
      <c r="C62" s="2" t="inlineStr">
        <is>
          <t>Leisure</t>
        </is>
      </c>
      <c r="D62" s="2" t="inlineStr">
        <is>
          <t>Bottoms</t>
        </is>
      </c>
      <c r="E62" s="2" t="inlineStr">
        <is>
          <t>Leisure</t>
        </is>
      </c>
      <c r="F62" s="2" t="str"/>
      <c r="G62" s="3" t="inlineStr">
        <is>
          <t>Women's Mid-Rise Leisure Pull-On Shorts</t>
        </is>
      </c>
      <c r="H62" s="2" t="inlineStr">
        <is>
          <t>013-10-3846</t>
        </is>
      </c>
      <c r="I62" s="2" t="str"/>
      <c r="J62" s="3" t="inlineStr">
        <is>
          <t>Knit, 75% Cotton, 25% Recycled Polyester</t>
        </is>
      </c>
      <c r="K62" s="2" t="n">
        <v>20</v>
      </c>
      <c r="L62" s="2" t="inlineStr">
        <is>
          <t>Sae-A</t>
        </is>
      </c>
      <c r="M62" s="4" t="str"/>
      <c r="N62" s="2">
        <f>_xlfn.IMAGE("https://target.scene7.com/is/image/Target/GUEST_ba321da9-5a4a-4b42-8e4e-e744fb54caed?wid=300&amp;hei=300")</f>
        <v/>
      </c>
      <c r="O62" s="5" t="inlineStr">
        <is>
          <t>https://www.target.com/p/-/A-95213733</t>
        </is>
      </c>
      <c r="P62" s="5" t="inlineStr">
        <is>
          <t>https://target.scene7.com/is/image/Target/GUEST_ba321da9-5a4a-4b42-8e4e-e744fb54caed?wid=300&amp;hei=300</t>
        </is>
      </c>
    </row>
    <row r="63" ht="80" customHeight="1">
      <c r="A63" s="2" t="n">
        <v>62</v>
      </c>
      <c r="B63" s="2" t="inlineStr">
        <is>
          <t>2026-10</t>
        </is>
      </c>
      <c r="C63" s="2" t="inlineStr">
        <is>
          <t>Leisure</t>
        </is>
      </c>
      <c r="D63" s="2" t="inlineStr">
        <is>
          <t>Bottoms</t>
        </is>
      </c>
      <c r="E63" s="2" t="inlineStr">
        <is>
          <t>Leisure</t>
        </is>
      </c>
      <c r="F63" s="2" t="str"/>
      <c r="G63" s="3" t="inlineStr">
        <is>
          <t>Women's Mid-Rise Knit Pull-On Shorts</t>
        </is>
      </c>
      <c r="H63" s="2" t="inlineStr">
        <is>
          <t>013-10-3012</t>
        </is>
      </c>
      <c r="I63" s="2" t="str"/>
      <c r="J63" s="3" t="inlineStr">
        <is>
          <t>Jersey, 100% Cotton</t>
        </is>
      </c>
      <c r="K63" s="2" t="n">
        <v>20</v>
      </c>
      <c r="L63" s="2" t="inlineStr">
        <is>
          <t>Sae-A</t>
        </is>
      </c>
      <c r="M63" s="4" t="str"/>
      <c r="N63" s="2">
        <f>_xlfn.IMAGE("https://target.scene7.com/is/image/Target/GUEST_cd0dfc94-db85-4dc6-b6ff-760b714a6d7d?wid=300&amp;hei=300")</f>
        <v/>
      </c>
      <c r="O63" s="5" t="inlineStr">
        <is>
          <t>https://www.target.com/p/-/A-95020480</t>
        </is>
      </c>
      <c r="P63" s="5" t="inlineStr">
        <is>
          <t>https://target.scene7.com/is/image/Target/GUEST_cd0dfc94-db85-4dc6-b6ff-760b714a6d7d?wid=300&amp;hei=300</t>
        </is>
      </c>
    </row>
    <row r="64" ht="80" customHeight="1">
      <c r="A64" s="2" t="n">
        <v>63</v>
      </c>
      <c r="B64" s="2" t="inlineStr">
        <is>
          <t>2026-10</t>
        </is>
      </c>
      <c r="C64" s="2" t="inlineStr">
        <is>
          <t>Leisure</t>
        </is>
      </c>
      <c r="D64" s="2" t="inlineStr">
        <is>
          <t>Bottoms</t>
        </is>
      </c>
      <c r="E64" s="2" t="inlineStr">
        <is>
          <t>Leisure</t>
        </is>
      </c>
      <c r="F64" s="2" t="str"/>
      <c r="G64" s="3" t="inlineStr">
        <is>
          <t>Women's Knit Maxi A-Line Skirt</t>
        </is>
      </c>
      <c r="H64" s="2" t="inlineStr">
        <is>
          <t>013-05-0887</t>
        </is>
      </c>
      <c r="I64" s="2" t="inlineStr">
        <is>
          <t>013-05-0884</t>
        </is>
      </c>
      <c r="J64" s="3" t="inlineStr">
        <is>
          <t>Jersey, 55% Cotton, 45% Recycled Polyester</t>
        </is>
      </c>
      <c r="K64" s="2" t="n">
        <v>25</v>
      </c>
      <c r="L64" s="2" t="inlineStr">
        <is>
          <t>Shin Won</t>
        </is>
      </c>
      <c r="M64" s="4" t="str"/>
      <c r="N64" s="2">
        <f>_xlfn.IMAGE("https://target.scene7.com/is/image/Target/GUEST_61f8f70f-9aa8-426c-bb94-95eaa3a57da4?wid=300&amp;hei=300")</f>
        <v/>
      </c>
      <c r="O64" s="5" t="inlineStr">
        <is>
          <t>https://www.target.com/p/-/A-95011418</t>
        </is>
      </c>
      <c r="P64" s="5" t="inlineStr">
        <is>
          <t>https://target.scene7.com/is/image/Target/GUEST_61f8f70f-9aa8-426c-bb94-95eaa3a57da4?wid=300&amp;hei=300</t>
        </is>
      </c>
    </row>
    <row r="65" ht="80" customHeight="1">
      <c r="A65" s="2" t="n">
        <v>64</v>
      </c>
      <c r="B65" s="2" t="inlineStr">
        <is>
          <t>2026-10</t>
        </is>
      </c>
      <c r="C65" s="2" t="inlineStr">
        <is>
          <t>Leisure</t>
        </is>
      </c>
      <c r="D65" s="2" t="inlineStr">
        <is>
          <t>Bottoms</t>
        </is>
      </c>
      <c r="E65" s="2" t="inlineStr">
        <is>
          <t>Leisure</t>
        </is>
      </c>
      <c r="F65" s="2" t="str"/>
      <c r="G65" s="3" t="inlineStr">
        <is>
          <t>Women's High-Rise Wide Leg Knit Pull-On Pants</t>
        </is>
      </c>
      <c r="H65" s="2" t="inlineStr">
        <is>
          <t>013-10-3498</t>
        </is>
      </c>
      <c r="I65" s="2" t="str"/>
      <c r="J65" s="3" t="inlineStr">
        <is>
          <t>Jersey, 70% Cotton, 30% Recycled Cotton</t>
        </is>
      </c>
      <c r="K65" s="2" t="n">
        <v>30</v>
      </c>
      <c r="L65" s="2" t="inlineStr">
        <is>
          <t>Avalon</t>
        </is>
      </c>
      <c r="M65" s="4" t="str"/>
      <c r="N65" s="2">
        <f>_xlfn.IMAGE("https://target.scene7.com/is/image/Target/GUEST_a6cb13f8-7e98-40fe-9b22-673252ff67ad?wid=300&amp;hei=300")</f>
        <v/>
      </c>
      <c r="O65" s="5" t="inlineStr">
        <is>
          <t>https://www.target.com/p/-/A-95157418</t>
        </is>
      </c>
      <c r="P65" s="5" t="inlineStr">
        <is>
          <t>https://target.scene7.com/is/image/Target/GUEST_a6cb13f8-7e98-40fe-9b22-673252ff67ad?wid=300&amp;hei=300</t>
        </is>
      </c>
    </row>
    <row r="66" ht="80" customHeight="1">
      <c r="A66" s="2" t="n">
        <v>65</v>
      </c>
      <c r="B66" s="2" t="inlineStr">
        <is>
          <t>2026-10</t>
        </is>
      </c>
      <c r="C66" s="2" t="inlineStr">
        <is>
          <t>Leisure</t>
        </is>
      </c>
      <c r="D66" s="2" t="inlineStr">
        <is>
          <t>Bottoms</t>
        </is>
      </c>
      <c r="E66" s="2" t="inlineStr">
        <is>
          <t>Leisure</t>
        </is>
      </c>
      <c r="F66" s="2" t="str"/>
      <c r="G66" s="3" t="inlineStr">
        <is>
          <t>Women's High-Rise French Terry Shorts</t>
        </is>
      </c>
      <c r="H66" s="2" t="inlineStr">
        <is>
          <t>013-10-3387</t>
        </is>
      </c>
      <c r="I66" s="2" t="str"/>
      <c r="J66" s="3" t="inlineStr">
        <is>
          <t>French Terry, 39% Cotton, 31% Recycled Cotton, 30% Recycled Cotton</t>
        </is>
      </c>
      <c r="K66" s="2" t="n">
        <v>20</v>
      </c>
      <c r="L66" s="2" t="inlineStr">
        <is>
          <t>FAMM</t>
        </is>
      </c>
      <c r="M66" s="4" t="str"/>
      <c r="N66" s="2">
        <f>_xlfn.IMAGE("https://target.scene7.com/is/image/Target/GUEST_4bd2a63f-1307-417d-8cd9-34f5d9fc028c?wid=300&amp;hei=300")</f>
        <v/>
      </c>
      <c r="O66" s="5" t="inlineStr">
        <is>
          <t>https://www.target.com/p/-/A-95156812</t>
        </is>
      </c>
      <c r="P66" s="5" t="inlineStr">
        <is>
          <t>https://target.scene7.com/is/image/Target/GUEST_4bd2a63f-1307-417d-8cd9-34f5d9fc028c?wid=300&amp;hei=300</t>
        </is>
      </c>
    </row>
    <row r="67" ht="80" customHeight="1">
      <c r="A67" s="2" t="n">
        <v>66</v>
      </c>
      <c r="B67" s="2" t="inlineStr">
        <is>
          <t>2026-10</t>
        </is>
      </c>
      <c r="C67" s="2" t="inlineStr">
        <is>
          <t>Leisure</t>
        </is>
      </c>
      <c r="D67" s="2" t="inlineStr">
        <is>
          <t>Dress</t>
        </is>
      </c>
      <c r="E67" s="2" t="inlineStr">
        <is>
          <t>Leisure</t>
        </is>
      </c>
      <c r="F67" s="2" t="str"/>
      <c r="G67" s="3" t="inlineStr">
        <is>
          <t>Women's Long Sleeve Knit Maxi A-Line Dress</t>
        </is>
      </c>
      <c r="H67" s="2" t="inlineStr">
        <is>
          <t>013-08-4848</t>
        </is>
      </c>
      <c r="I67" s="2" t="str"/>
      <c r="J67" s="3" t="inlineStr">
        <is>
          <t>Variegated Rib, 57% Cotton, 38% Recycled Polyester, 5% Spandex</t>
        </is>
      </c>
      <c r="K67" s="2" t="n">
        <v>30</v>
      </c>
      <c r="L67" s="2" t="inlineStr">
        <is>
          <t>Shin Won</t>
        </is>
      </c>
      <c r="M67" s="4" t="str"/>
      <c r="N67" s="2">
        <f>_xlfn.IMAGE("https://target.scene7.com/is/image/Target/GUEST_9845df6c-0dd8-4757-86e7-da119e423e04?wid=300&amp;hei=300")</f>
        <v/>
      </c>
      <c r="O67" s="5" t="inlineStr">
        <is>
          <t>https://www.target.com/p/-/A-1008344904</t>
        </is>
      </c>
      <c r="P67" s="5" t="inlineStr">
        <is>
          <t>https://target.scene7.com/is/image/Target/GUEST_9845df6c-0dd8-4757-86e7-da119e423e04?wid=300&amp;hei=300</t>
        </is>
      </c>
    </row>
    <row r="68" ht="80" customHeight="1">
      <c r="A68" s="2" t="n">
        <v>67</v>
      </c>
      <c r="B68" s="2" t="inlineStr">
        <is>
          <t>2026-10</t>
        </is>
      </c>
      <c r="C68" s="2" t="inlineStr">
        <is>
          <t>Leisure</t>
        </is>
      </c>
      <c r="D68" s="2" t="inlineStr">
        <is>
          <t>Dress</t>
        </is>
      </c>
      <c r="E68" s="2" t="inlineStr">
        <is>
          <t>Leisure</t>
        </is>
      </c>
      <c r="F68" s="2" t="str"/>
      <c r="G68" s="3" t="inlineStr">
        <is>
          <t>Women's Short Sleeve Mock Knit Mini A-Line Dress</t>
        </is>
      </c>
      <c r="H68" s="2" t="inlineStr">
        <is>
          <t>013-08-4828</t>
        </is>
      </c>
      <c r="I68" s="2" t="str"/>
      <c r="J68" s="3" t="inlineStr">
        <is>
          <t>Variegated Rib, 92% Cotton, 8% Spandex</t>
        </is>
      </c>
      <c r="K68" s="2" t="n">
        <v>25</v>
      </c>
      <c r="L68" s="2" t="inlineStr">
        <is>
          <t>Sae-A</t>
        </is>
      </c>
      <c r="M68" s="4" t="str"/>
      <c r="N68" s="2">
        <f>_xlfn.IMAGE("https://target.scene7.com/is/image/Target/GUEST_c929a98b-0c3c-46f0-b463-ad41bb3f18f9?wid=300&amp;hei=300")</f>
        <v/>
      </c>
      <c r="O68" s="5" t="inlineStr">
        <is>
          <t>https://www.target.com/p/-/A-95147737</t>
        </is>
      </c>
      <c r="P68" s="5" t="inlineStr">
        <is>
          <t>https://target.scene7.com/is/image/Target/GUEST_c929a98b-0c3c-46f0-b463-ad41bb3f18f9?wid=300&amp;hei=300</t>
        </is>
      </c>
    </row>
    <row r="69" ht="80" customHeight="1">
      <c r="A69" s="2" t="n">
        <v>68</v>
      </c>
      <c r="B69" s="2" t="inlineStr">
        <is>
          <t>2026-10</t>
        </is>
      </c>
      <c r="C69" s="2" t="inlineStr">
        <is>
          <t>Leisure</t>
        </is>
      </c>
      <c r="D69" s="2" t="inlineStr">
        <is>
          <t>Dress</t>
        </is>
      </c>
      <c r="E69" s="2" t="inlineStr">
        <is>
          <t>Leisure</t>
        </is>
      </c>
      <c r="F69" s="2" t="str"/>
      <c r="G69" s="3" t="inlineStr">
        <is>
          <t>Women's Long Sleeve Midi Polo Dress</t>
        </is>
      </c>
      <c r="H69" s="2" t="inlineStr">
        <is>
          <t>013-08-5234</t>
        </is>
      </c>
      <c r="I69" s="2" t="str"/>
      <c r="J69" s="3" t="inlineStr">
        <is>
          <t>Flatback Rib, 89% Recycled Polyester, 8% Rayon, 3% Spandex</t>
        </is>
      </c>
      <c r="K69" s="2" t="n">
        <v>35</v>
      </c>
      <c r="L69" s="2" t="inlineStr">
        <is>
          <t>Shin Won</t>
        </is>
      </c>
      <c r="M69" s="4" t="str"/>
      <c r="N69" s="2">
        <f>_xlfn.IMAGE("https://target.scene7.com/is/image/Target/GUEST_c797b050-ed18-404e-940f-05da22a7993d?wid=300&amp;hei=300")</f>
        <v/>
      </c>
      <c r="O69" s="5" t="inlineStr">
        <is>
          <t>https://www.target.com/p/-/A-1010627720</t>
        </is>
      </c>
      <c r="P69" s="5" t="inlineStr">
        <is>
          <t>https://target.scene7.com/is/image/Target/GUEST_c797b050-ed18-404e-940f-05da22a7993d?wid=300&amp;hei=300</t>
        </is>
      </c>
    </row>
    <row r="70" ht="80" customHeight="1">
      <c r="A70" s="2" t="n">
        <v>69</v>
      </c>
      <c r="B70" s="2" t="inlineStr">
        <is>
          <t>2026-10</t>
        </is>
      </c>
      <c r="C70" s="2" t="inlineStr">
        <is>
          <t>Leisure</t>
        </is>
      </c>
      <c r="D70" s="2" t="inlineStr">
        <is>
          <t>Dress</t>
        </is>
      </c>
      <c r="E70" s="2" t="inlineStr">
        <is>
          <t>Leisure</t>
        </is>
      </c>
      <c r="F70" s="2" t="str"/>
      <c r="G70" s="3" t="inlineStr">
        <is>
          <t>Women's Short Sleeve Knit Bodycon Dress</t>
        </is>
      </c>
      <c r="H70" s="2" t="inlineStr">
        <is>
          <t>013-08-4133</t>
        </is>
      </c>
      <c r="I70" s="2" t="str"/>
      <c r="J70" s="3" t="inlineStr">
        <is>
          <t>Variegated Rib, 57% Cotton, 38% Recycled Polyester, 5% Spandex</t>
        </is>
      </c>
      <c r="K70" s="2" t="n">
        <v>20</v>
      </c>
      <c r="L70" s="2" t="inlineStr">
        <is>
          <t>Shin Won</t>
        </is>
      </c>
      <c r="M70" s="4" t="str"/>
      <c r="N70" s="2">
        <f>_xlfn.IMAGE("https://target.scene7.com/is/image/Target/GUEST_c2dcfe5e-384c-4286-9497-32fb53fc52d0?wid=300&amp;hei=300")</f>
        <v/>
      </c>
      <c r="O70" s="5" t="inlineStr">
        <is>
          <t>https://www.target.com/p/-/A-95028402</t>
        </is>
      </c>
      <c r="P70" s="5" t="inlineStr">
        <is>
          <t>https://target.scene7.com/is/image/Target/GUEST_c2dcfe5e-384c-4286-9497-32fb53fc52d0?wid=300&amp;hei=300</t>
        </is>
      </c>
    </row>
    <row r="71" ht="80" customHeight="1">
      <c r="A71" s="2" t="n">
        <v>70</v>
      </c>
      <c r="B71" s="2" t="inlineStr">
        <is>
          <t>2026-10</t>
        </is>
      </c>
      <c r="C71" s="2" t="inlineStr">
        <is>
          <t>Leisure</t>
        </is>
      </c>
      <c r="D71" s="2" t="inlineStr">
        <is>
          <t>Dress</t>
        </is>
      </c>
      <c r="E71" s="2" t="inlineStr">
        <is>
          <t>Leisure</t>
        </is>
      </c>
      <c r="F71" s="2" t="str"/>
      <c r="G71" s="3" t="inlineStr">
        <is>
          <t>Women's Knit Maxi Dress</t>
        </is>
      </c>
      <c r="H71" s="2" t="inlineStr">
        <is>
          <t>013-08-3697</t>
        </is>
      </c>
      <c r="I71" s="2" t="inlineStr">
        <is>
          <t>013-08-3700</t>
        </is>
      </c>
      <c r="J71" s="3" t="inlineStr">
        <is>
          <t>Jacquard Knit, 59% Cotton, 40% Recycled Polyester, 1% Spandex</t>
        </is>
      </c>
      <c r="K71" s="2" t="n">
        <v>35</v>
      </c>
      <c r="L71" s="2" t="inlineStr">
        <is>
          <t>Sae-A</t>
        </is>
      </c>
      <c r="M71" s="4" t="str"/>
      <c r="N71" s="2">
        <f>_xlfn.IMAGE("https://target.scene7.com/is/image/Target/GUEST_3d4fe8cd-c8a5-4954-9c1d-409bf7859aeb?wid=300&amp;hei=300")</f>
        <v/>
      </c>
      <c r="O71" s="5" t="inlineStr">
        <is>
          <t>https://www.target.com/p/-/A-94975726</t>
        </is>
      </c>
      <c r="P71" s="5" t="inlineStr">
        <is>
          <t>https://target.scene7.com/is/image/Target/GUEST_3d4fe8cd-c8a5-4954-9c1d-409bf7859aeb?wid=300&amp;hei=300</t>
        </is>
      </c>
    </row>
    <row r="72" ht="80" customHeight="1">
      <c r="A72" s="2" t="n">
        <v>71</v>
      </c>
      <c r="B72" s="2" t="inlineStr">
        <is>
          <t>2026-10</t>
        </is>
      </c>
      <c r="C72" s="2" t="inlineStr">
        <is>
          <t>Leisure</t>
        </is>
      </c>
      <c r="D72" s="2" t="inlineStr">
        <is>
          <t>Dress</t>
        </is>
      </c>
      <c r="E72" s="2" t="inlineStr">
        <is>
          <t>Leisure</t>
        </is>
      </c>
      <c r="F72" s="2" t="str"/>
      <c r="G72" s="3" t="inlineStr">
        <is>
          <t>Women's Pull-On Jumpsuit</t>
        </is>
      </c>
      <c r="H72" s="2" t="inlineStr">
        <is>
          <t>013-10-3329</t>
        </is>
      </c>
      <c r="I72" s="2" t="str"/>
      <c r="J72" s="3" t="inlineStr">
        <is>
          <t>Jersey, 57% Cotton, 38% Recycled Polyester, 5% Spandex</t>
        </is>
      </c>
      <c r="K72" s="2" t="n">
        <v>35</v>
      </c>
      <c r="L72" s="2" t="inlineStr">
        <is>
          <t>Sae-A</t>
        </is>
      </c>
      <c r="M72" s="4" t="str"/>
      <c r="N72" s="2">
        <f>_xlfn.IMAGE("https://target.scene7.com/is/image/Target/GUEST_0a1300b1-1320-4569-86ef-22523dc4d55a?wid=300&amp;hei=300")</f>
        <v/>
      </c>
      <c r="O72" s="5" t="inlineStr">
        <is>
          <t>https://www.target.com/p/-/A-95151373</t>
        </is>
      </c>
      <c r="P72" s="5" t="inlineStr">
        <is>
          <t>https://target.scene7.com/is/image/Target/GUEST_0a1300b1-1320-4569-86ef-22523dc4d55a?wid=300&amp;hei=300</t>
        </is>
      </c>
    </row>
    <row r="73" ht="80" customHeight="1">
      <c r="A73" s="2" t="n">
        <v>72</v>
      </c>
      <c r="B73" s="2" t="inlineStr">
        <is>
          <t>2026-10</t>
        </is>
      </c>
      <c r="C73" s="2" t="inlineStr">
        <is>
          <t>Leisure</t>
        </is>
      </c>
      <c r="D73" s="2" t="inlineStr">
        <is>
          <t>Dress</t>
        </is>
      </c>
      <c r="E73" s="2" t="inlineStr">
        <is>
          <t>Leisure</t>
        </is>
      </c>
      <c r="F73" s="2" t="str"/>
      <c r="G73" s="3" t="inlineStr">
        <is>
          <t>Women's Knit Mini Bodycon Dress</t>
        </is>
      </c>
      <c r="H73" s="2" t="inlineStr">
        <is>
          <t>013-08-4123</t>
        </is>
      </c>
      <c r="I73" s="2" t="str"/>
      <c r="J73" s="3" t="inlineStr">
        <is>
          <t>Pointelle, Knit, 60% Cotton, 40% Recycled Polyester</t>
        </is>
      </c>
      <c r="K73" s="2" t="n">
        <v>20</v>
      </c>
      <c r="L73" s="2" t="inlineStr">
        <is>
          <t>Sae-A</t>
        </is>
      </c>
      <c r="M73" s="4" t="str"/>
      <c r="N73" s="2">
        <f>_xlfn.IMAGE("https://target.scene7.com/is/image/Target/GUEST_c13cf563-14ae-4016-81e8-06be5b000319?wid=300&amp;hei=300")</f>
        <v/>
      </c>
      <c r="O73" s="5" t="inlineStr">
        <is>
          <t>https://www.target.com/p/-/A-95028220</t>
        </is>
      </c>
      <c r="P73" s="5" t="inlineStr">
        <is>
          <t>https://target.scene7.com/is/image/Target/GUEST_c13cf563-14ae-4016-81e8-06be5b000319?wid=300&amp;hei=300</t>
        </is>
      </c>
    </row>
    <row r="74" ht="80" customHeight="1">
      <c r="A74" s="2" t="n">
        <v>73</v>
      </c>
      <c r="B74" s="2" t="inlineStr">
        <is>
          <t>2026-10</t>
        </is>
      </c>
      <c r="C74" s="2" t="inlineStr">
        <is>
          <t>Leisure</t>
        </is>
      </c>
      <c r="D74" s="2" t="inlineStr">
        <is>
          <t>Dress</t>
        </is>
      </c>
      <c r="E74" s="2" t="inlineStr">
        <is>
          <t>Leisure</t>
        </is>
      </c>
      <c r="F74" s="2" t="str"/>
      <c r="G74" s="3" t="inlineStr">
        <is>
          <t>Women's Short Sleeve Midi T-Shirt Dress</t>
        </is>
      </c>
      <c r="H74" s="2" t="inlineStr">
        <is>
          <t>013-09-7960</t>
        </is>
      </c>
      <c r="I74" s="2" t="inlineStr">
        <is>
          <t>013-09-7957</t>
        </is>
      </c>
      <c r="J74" s="3" t="inlineStr">
        <is>
          <t>Jersey, 100% Cotton</t>
        </is>
      </c>
      <c r="K74" s="2" t="n">
        <v>25</v>
      </c>
      <c r="L74" s="2" t="inlineStr">
        <is>
          <t>Sae-A</t>
        </is>
      </c>
      <c r="M74" s="4" t="str"/>
      <c r="N74" s="2">
        <f>_xlfn.IMAGE("https://target.scene7.com/is/image/Target/GUEST_f97f319d-ba52-4b88-9afe-c496029fac35?wid=300&amp;hei=300")</f>
        <v/>
      </c>
      <c r="O74" s="5" t="inlineStr">
        <is>
          <t>https://www.target.com/p/-/A-89525631</t>
        </is>
      </c>
      <c r="P74" s="5" t="inlineStr">
        <is>
          <t>https://target.scene7.com/is/image/Target/GUEST_f97f319d-ba52-4b88-9afe-c496029fac35?wid=300&amp;hei=300</t>
        </is>
      </c>
    </row>
    <row r="76">
      <c r="A76" s="8" t="inlineStr">
        <is>
          <t>· 노란색 "Vendor 입력" 칸에 Vendor를 적어 회신해 주세요. 비워 두면 현재 값을 유지합니다.</t>
        </is>
      </c>
    </row>
    <row r="77">
      <c r="A77" s="9" t="inlineStr">
        <is>
          <t>· "이미지" 칸은 Excel 365의 IMAGE 함수로 T.com 사진을 불러옵니다. 사진이 안 보이면 "이미지 링크"를 눌러 확인하세요.</t>
        </is>
      </c>
    </row>
    <row r="78">
      <c r="A78" s="10" t="inlineStr">
        <is>
          <t>· 출처: Target.com Universal Thread 카테고리, 2026-10-01 수집 (가격은 정가 기준)</t>
        </is>
      </c>
    </row>
  </sheetData>
  <autoFilter ref="A1:P74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2026-10-01T09:41:00Z</dcterms:created>
  <dcterms:modified xmlns:dcterms="http://purl.org/dc/terms/" xmlns:xsi="http://www.w3.org/2001/XMLSchema-instance" xsi:type="dcterms:W3CDTF">2026-10-01T09:41:00Z</dcterms:modified>
</cp:coreProperties>
</file>